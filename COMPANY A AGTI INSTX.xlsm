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ooks Woolfolk\GitHub\NT CROSS REFERENCE\"/>
    </mc:Choice>
  </mc:AlternateContent>
  <xr:revisionPtr revIDLastSave="0" documentId="13_ncr:1_{EA6A59ED-8B71-4E5D-B219-A6D458D6A12D}" xr6:coauthVersionLast="40" xr6:coauthVersionMax="40" xr10:uidLastSave="{00000000-0000-0000-0000-000000000000}"/>
  <bookViews>
    <workbookView xWindow="0" yWindow="0" windowWidth="30720" windowHeight="13368" xr2:uid="{00000000-000D-0000-FFFF-FFFF00000000}"/>
  </bookViews>
  <sheets>
    <sheet name="AGTI Instructions" sheetId="5" r:id="rId1"/>
  </sheets>
  <definedNames>
    <definedName name="_xlnm._FilterDatabase" localSheetId="0" hidden="1">'AGTI Instructions'!$A$13:$O$157</definedName>
    <definedName name="Current_Date">#REF!</definedName>
    <definedName name="Folio_Number">#REF!</definedName>
  </definedNames>
  <calcPr calcId="191029"/>
</workbook>
</file>

<file path=xl/calcChain.xml><?xml version="1.0" encoding="utf-8"?>
<calcChain xmlns="http://schemas.openxmlformats.org/spreadsheetml/2006/main">
  <c r="D42" i="5" l="1"/>
  <c r="D44" i="5" s="1"/>
  <c r="D46" i="5" s="1"/>
  <c r="D48" i="5" s="1"/>
  <c r="D50" i="5" s="1"/>
  <c r="D52" i="5" s="1"/>
  <c r="D54" i="5" s="1"/>
  <c r="D56" i="5" s="1"/>
  <c r="D58" i="5" s="1"/>
  <c r="D60" i="5" s="1"/>
  <c r="D62" i="5" s="1"/>
  <c r="D64" i="5" s="1"/>
  <c r="D66" i="5" s="1"/>
  <c r="D68" i="5" s="1"/>
  <c r="D70" i="5" s="1"/>
  <c r="D72" i="5" s="1"/>
  <c r="D74" i="5" s="1"/>
  <c r="D76" i="5" s="1"/>
  <c r="D78" i="5" s="1"/>
  <c r="D80" i="5" s="1"/>
  <c r="D82" i="5" s="1"/>
  <c r="D84" i="5" s="1"/>
  <c r="D86" i="5" s="1"/>
  <c r="D88" i="5" s="1"/>
  <c r="D90" i="5" s="1"/>
  <c r="D92" i="5" s="1"/>
  <c r="D94" i="5" s="1"/>
  <c r="D96" i="5" s="1"/>
  <c r="D98" i="5" s="1"/>
  <c r="D100" i="5" s="1"/>
  <c r="D102" i="5" s="1"/>
  <c r="D104" i="5" s="1"/>
  <c r="D106" i="5" s="1"/>
  <c r="D108" i="5" s="1"/>
  <c r="D110" i="5" s="1"/>
  <c r="D112" i="5" s="1"/>
  <c r="D114" i="5" s="1"/>
  <c r="D116" i="5" s="1"/>
  <c r="D118" i="5" s="1"/>
  <c r="D120" i="5" s="1"/>
  <c r="D122" i="5" s="1"/>
  <c r="D124" i="5" s="1"/>
  <c r="D126" i="5" s="1"/>
  <c r="D128" i="5" s="1"/>
  <c r="D130" i="5" s="1"/>
  <c r="D132" i="5" s="1"/>
  <c r="D134" i="5" s="1"/>
  <c r="D136" i="5" s="1"/>
  <c r="D138" i="5" s="1"/>
  <c r="D140" i="5" s="1"/>
  <c r="D142" i="5" s="1"/>
  <c r="H8" i="5" l="1"/>
  <c r="H7" i="5"/>
  <c r="H6" i="5"/>
  <c r="H5" i="5"/>
  <c r="H4" i="5"/>
  <c r="H3" i="5"/>
  <c r="H2" i="5"/>
  <c r="H1" i="5"/>
  <c r="F9" i="5"/>
  <c r="F8" i="5"/>
  <c r="F10" i="5" l="1"/>
  <c r="H10" i="5"/>
</calcChain>
</file>

<file path=xl/sharedStrings.xml><?xml version="1.0" encoding="utf-8"?>
<sst xmlns="http://schemas.openxmlformats.org/spreadsheetml/2006/main" count="416" uniqueCount="146">
  <si>
    <t>3/22/2019 11:59:00 PM</t>
  </si>
  <si>
    <t>DIVIDEND REINVESTMENT PLAN</t>
  </si>
  <si>
    <t>NOPR</t>
  </si>
  <si>
    <t>Account Name</t>
  </si>
  <si>
    <t>Fund Manager</t>
  </si>
  <si>
    <t>Net Holdings</t>
  </si>
  <si>
    <t>Decision</t>
  </si>
  <si>
    <t>Difference</t>
  </si>
  <si>
    <t>Decision Executed</t>
  </si>
  <si>
    <t>Special Inst</t>
  </si>
  <si>
    <t>Bid Quantity</t>
  </si>
  <si>
    <t xml:space="preserve">  Bid Price</t>
  </si>
  <si>
    <t xml:space="preserve"> Bid Executed</t>
  </si>
  <si>
    <t>AM1 NOR-TS</t>
  </si>
  <si>
    <t>Analyst Sign Off</t>
  </si>
  <si>
    <t>Approver Sign Off</t>
  </si>
  <si>
    <t>Security</t>
  </si>
  <si>
    <t>Offer Type</t>
  </si>
  <si>
    <t>Deadline</t>
  </si>
  <si>
    <t>Folio / BMN</t>
  </si>
  <si>
    <t xml:space="preserve">Security ID </t>
  </si>
  <si>
    <t>Offer Priority</t>
  </si>
  <si>
    <t>Proprietary Link Confirmation Check</t>
  </si>
  <si>
    <t>Custodian</t>
  </si>
  <si>
    <t>Approver</t>
  </si>
  <si>
    <t>Holding Total</t>
  </si>
  <si>
    <t>Decision Total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</si>
  <si>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</si>
  <si>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</si>
  <si>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</si>
  <si>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</si>
  <si>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</si>
  <si>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</si>
  <si>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</si>
  <si>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</si>
  <si>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Option Total</t>
  </si>
  <si>
    <t>PM 1</t>
  </si>
  <si>
    <t>PM 2</t>
  </si>
  <si>
    <t>PM 4</t>
  </si>
  <si>
    <t>PM 5</t>
  </si>
  <si>
    <t>PM 8</t>
  </si>
  <si>
    <t xml:space="preserve">PM 5 </t>
  </si>
  <si>
    <t xml:space="preserve">PM 4 </t>
  </si>
  <si>
    <t>351615700P</t>
  </si>
  <si>
    <t>2 ELECT THE OPTIONAL CURRENCY IN CAD</t>
  </si>
  <si>
    <t>3 ELECT DIVIDEND REINVESTMENT PLAN</t>
  </si>
  <si>
    <t>1 ELECT DIVIDEND IN CASH USD</t>
  </si>
  <si>
    <t>COMPANY A</t>
  </si>
  <si>
    <t>SEDOL</t>
  </si>
  <si>
    <t>12345/ABCDEF1</t>
  </si>
  <si>
    <t>IE-123: Account_Name</t>
  </si>
  <si>
    <t>IE-124: Account_Name</t>
  </si>
  <si>
    <t>IE-125: Account_Name</t>
  </si>
  <si>
    <t>IE-126: Account_Name</t>
  </si>
  <si>
    <t>IE-127: Account_Name</t>
  </si>
  <si>
    <t>IE-128: Account_Name</t>
  </si>
  <si>
    <t>IE-129: Account_Name</t>
  </si>
  <si>
    <t>IE-130: Account_Name</t>
  </si>
  <si>
    <t>IE-131: Account_Name</t>
  </si>
  <si>
    <t>IE-132: Account_Name</t>
  </si>
  <si>
    <t>IE-133: Account_Name</t>
  </si>
  <si>
    <t>IE-134: Account_Name</t>
  </si>
  <si>
    <t>IE-135: Account_Name</t>
  </si>
  <si>
    <t>IE-136: Account_Name</t>
  </si>
  <si>
    <t>IE-137: Account_Name</t>
  </si>
  <si>
    <t>IE-138: Account_Name</t>
  </si>
  <si>
    <t>IE-139: Account_Name</t>
  </si>
  <si>
    <t>IE-140: Account_Name</t>
  </si>
  <si>
    <t>IE-141: Account_Name</t>
  </si>
  <si>
    <t>IE-142: Account_Name</t>
  </si>
  <si>
    <t>IE-143: Account_Name</t>
  </si>
  <si>
    <t>IE-144: Account_Name</t>
  </si>
  <si>
    <t>IE-145: Account_Name</t>
  </si>
  <si>
    <t>IE-146: Account_Name</t>
  </si>
  <si>
    <t>IE-147: Account_Name</t>
  </si>
  <si>
    <t>IE-148: Account_Name</t>
  </si>
  <si>
    <t>IE-149: Account_Name</t>
  </si>
  <si>
    <t>IE-150: Account_Name</t>
  </si>
  <si>
    <t>IE-151: Account_Name</t>
  </si>
  <si>
    <t>IE-152: Account_Name</t>
  </si>
  <si>
    <t>IE-153: Account_Name</t>
  </si>
  <si>
    <t>IE-154: Account_Name</t>
  </si>
  <si>
    <t>IE-155: Account_Name</t>
  </si>
  <si>
    <t>IE-156: Account_Name</t>
  </si>
  <si>
    <t>IE-157: Account_Name</t>
  </si>
  <si>
    <t>IE-158: Account_Name</t>
  </si>
  <si>
    <t>IE-159: Account_Name</t>
  </si>
  <si>
    <t>IE-160: Account_Name</t>
  </si>
  <si>
    <t>IE-161: Account_Name</t>
  </si>
  <si>
    <t>IE-162: Account_Name</t>
  </si>
  <si>
    <t>IE-163: Account_Name</t>
  </si>
  <si>
    <t>IE-164: Account_Name</t>
  </si>
  <si>
    <t>IE-165: Account_Name</t>
  </si>
  <si>
    <t>IE-166: Account_Name</t>
  </si>
  <si>
    <t>IE-167: Account_Name</t>
  </si>
  <si>
    <t>IE-168: Account_Name</t>
  </si>
  <si>
    <t>IE-169: Account_Name</t>
  </si>
  <si>
    <t>IE-170: Account_Name</t>
  </si>
  <si>
    <t>IE-171: Account_Name</t>
  </si>
  <si>
    <t>IE-172: Account_Name</t>
  </si>
  <si>
    <t>IE-173: Account_Name</t>
  </si>
  <si>
    <t>IE-174: Account_Name</t>
  </si>
  <si>
    <t>IE-175: Account_Name</t>
  </si>
  <si>
    <t>IE-176: Account_Name</t>
  </si>
  <si>
    <t>IE-177: Account_Name</t>
  </si>
  <si>
    <t>IE-178: Account_Name</t>
  </si>
  <si>
    <t>IE-179: Account_Name</t>
  </si>
  <si>
    <t>IE-180: Account_Name</t>
  </si>
  <si>
    <t>IE-181: Account_Name</t>
  </si>
  <si>
    <t>IE-182: Account_Name</t>
  </si>
  <si>
    <t>IE-183: Account_Name</t>
  </si>
  <si>
    <t>IE-184: Account_Name</t>
  </si>
  <si>
    <t>IE-185: Account_Name</t>
  </si>
  <si>
    <t>IE-186: Account_Name</t>
  </si>
  <si>
    <t>IE-187: Account_Name</t>
  </si>
  <si>
    <t>IE-188: Account_Name</t>
  </si>
  <si>
    <t>IE-189: Account_Name</t>
  </si>
  <si>
    <t>IE-190: Account_Name</t>
  </si>
  <si>
    <t>IE-191: Account_Name</t>
  </si>
  <si>
    <t>IE-192: Account_Name</t>
  </si>
  <si>
    <t>IE-193: Account_Name</t>
  </si>
  <si>
    <t>IE-194: Account_Name</t>
  </si>
  <si>
    <t>Custodian A/C</t>
  </si>
  <si>
    <t>Option and Descreption</t>
  </si>
  <si>
    <t>Custodian 1</t>
  </si>
  <si>
    <t>Custodian 2</t>
  </si>
  <si>
    <t>Custodian 3</t>
  </si>
  <si>
    <t>Custodian 4</t>
  </si>
  <si>
    <t>Custodian 5</t>
  </si>
  <si>
    <t>Custodian 6</t>
  </si>
  <si>
    <t>Custodian 7</t>
  </si>
  <si>
    <t>Custodian 8</t>
  </si>
  <si>
    <t>NOR-TS</t>
  </si>
  <si>
    <t>AM1 Custodian 1</t>
  </si>
  <si>
    <t>AM1 Custodian 2</t>
  </si>
  <si>
    <t>AM1 Custodian 3</t>
  </si>
  <si>
    <t>AM1 Custodian 4</t>
  </si>
  <si>
    <t>AM1 Custodian 5</t>
  </si>
  <si>
    <t>AM1 Custodian 6</t>
  </si>
  <si>
    <t>AM1 Custodian 7</t>
  </si>
  <si>
    <t>AM1 Custodian 8</t>
  </si>
  <si>
    <t>BITJ3</t>
  </si>
  <si>
    <t>FEIE9</t>
  </si>
  <si>
    <t>SLDO4</t>
  </si>
  <si>
    <t>22-PJ0N4</t>
  </si>
  <si>
    <t>BW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</si>
</sst>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indexed="8"/>
      <name val="Times New Roman"/>
      <family val="1"/>
    </font>
    <font>
      <b/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72">
    <xf numFmtId="0" fontId="0" fillId="0" borderId="0"/>
    <xf numFmtId="0" fontId="2" fillId="0" borderId="0"/>
    <xf numFmtId="0" fontId="3" fillId="0" borderId="0"/>
    <xf numFmtId="9" fontId="3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0" fillId="0" borderId="1" xfId="0" applyBorder="1" applyAlignment="1">
      <alignment vertical="top"/>
    </xf>
    <xf numFmtId="0" fontId="4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vertical="top"/>
    </xf>
    <xf numFmtId="0" fontId="4" fillId="0" borderId="1" xfId="0" applyFont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14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0" fontId="8" fillId="0" borderId="1" xfId="0" applyFont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4" fillId="0" borderId="2" xfId="0" applyFont="1" applyBorder="1" applyAlignment="1">
      <alignment vertical="top"/>
    </xf>
    <xf numFmtId="0" fontId="0" fillId="0" borderId="1" xfId="0" applyBorder="1" applyAlignment="1">
      <alignment horizontal="center" vertical="top"/>
    </xf>
    <xf numFmtId="0" fontId="7" fillId="2" borderId="1" xfId="0" applyFont="1" applyFill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</cellXfs>
  <cellStyles count="72">
    <cellStyle name="Normal" xfId="0" builtinId="0"/>
    <cellStyle name="Normal 2" xfId="2" xr:uid="{00000000-0005-0000-0000-000001000000}"/>
    <cellStyle name="Normal 2 2" xfId="64" xr:uid="{00000000-0005-0000-0000-000002000000}"/>
    <cellStyle name="Normal 2 3" xfId="56" xr:uid="{00000000-0005-0000-0000-000003000000}"/>
    <cellStyle name="Normal 3" xfId="4" xr:uid="{00000000-0005-0000-0000-000004000000}"/>
    <cellStyle name="Normal 3 2" xfId="6" xr:uid="{00000000-0005-0000-0000-000005000000}"/>
    <cellStyle name="Normal 3 2 2" xfId="67" xr:uid="{00000000-0005-0000-0000-000006000000}"/>
    <cellStyle name="Normal 3 2 3" xfId="59" xr:uid="{00000000-0005-0000-0000-000007000000}"/>
    <cellStyle name="Normal 3 3" xfId="7" xr:uid="{00000000-0005-0000-0000-000008000000}"/>
    <cellStyle name="Normal 3 3 2" xfId="12" xr:uid="{00000000-0005-0000-0000-000009000000}"/>
    <cellStyle name="Normal 3 3 2 2" xfId="17" xr:uid="{00000000-0005-0000-0000-00000A000000}"/>
    <cellStyle name="Normal 3 3 2 2 2" xfId="30" xr:uid="{00000000-0005-0000-0000-00000B000000}"/>
    <cellStyle name="Normal 3 3 2 2 2 2" xfId="52" xr:uid="{00000000-0005-0000-0000-00000C000000}"/>
    <cellStyle name="Normal 3 3 2 2 3" xfId="41" xr:uid="{00000000-0005-0000-0000-00000D000000}"/>
    <cellStyle name="Normal 3 3 2 3" xfId="25" xr:uid="{00000000-0005-0000-0000-00000E000000}"/>
    <cellStyle name="Normal 3 3 2 3 2" xfId="47" xr:uid="{00000000-0005-0000-0000-00000F000000}"/>
    <cellStyle name="Normal 3 3 2 4" xfId="36" xr:uid="{00000000-0005-0000-0000-000010000000}"/>
    <cellStyle name="Normal 3 3 3" xfId="14" xr:uid="{00000000-0005-0000-0000-000011000000}"/>
    <cellStyle name="Normal 3 3 3 2" xfId="27" xr:uid="{00000000-0005-0000-0000-000012000000}"/>
    <cellStyle name="Normal 3 3 3 2 2" xfId="49" xr:uid="{00000000-0005-0000-0000-000013000000}"/>
    <cellStyle name="Normal 3 3 3 3" xfId="38" xr:uid="{00000000-0005-0000-0000-000014000000}"/>
    <cellStyle name="Normal 3 3 4" xfId="22" xr:uid="{00000000-0005-0000-0000-000015000000}"/>
    <cellStyle name="Normal 3 3 4 2" xfId="44" xr:uid="{00000000-0005-0000-0000-000016000000}"/>
    <cellStyle name="Normal 3 3 5" xfId="33" xr:uid="{00000000-0005-0000-0000-000017000000}"/>
    <cellStyle name="Normal 3 3 6" xfId="55" xr:uid="{00000000-0005-0000-0000-000018000000}"/>
    <cellStyle name="Normal 3 4" xfId="11" xr:uid="{00000000-0005-0000-0000-000019000000}"/>
    <cellStyle name="Normal 3 4 2" xfId="16" xr:uid="{00000000-0005-0000-0000-00001A000000}"/>
    <cellStyle name="Normal 3 4 2 2" xfId="29" xr:uid="{00000000-0005-0000-0000-00001B000000}"/>
    <cellStyle name="Normal 3 4 2 2 2" xfId="51" xr:uid="{00000000-0005-0000-0000-00001C000000}"/>
    <cellStyle name="Normal 3 4 2 3" xfId="40" xr:uid="{00000000-0005-0000-0000-00001D000000}"/>
    <cellStyle name="Normal 3 4 3" xfId="24" xr:uid="{00000000-0005-0000-0000-00001E000000}"/>
    <cellStyle name="Normal 3 4 3 2" xfId="46" xr:uid="{00000000-0005-0000-0000-00001F000000}"/>
    <cellStyle name="Normal 3 4 4" xfId="35" xr:uid="{00000000-0005-0000-0000-000020000000}"/>
    <cellStyle name="Normal 3 5" xfId="13" xr:uid="{00000000-0005-0000-0000-000021000000}"/>
    <cellStyle name="Normal 3 5 2" xfId="26" xr:uid="{00000000-0005-0000-0000-000022000000}"/>
    <cellStyle name="Normal 3 5 2 2" xfId="48" xr:uid="{00000000-0005-0000-0000-000023000000}"/>
    <cellStyle name="Normal 3 5 3" xfId="37" xr:uid="{00000000-0005-0000-0000-000024000000}"/>
    <cellStyle name="Normal 3 6" xfId="21" xr:uid="{00000000-0005-0000-0000-000025000000}"/>
    <cellStyle name="Normal 3 6 2" xfId="43" xr:uid="{00000000-0005-0000-0000-000026000000}"/>
    <cellStyle name="Normal 3 7" xfId="32" xr:uid="{00000000-0005-0000-0000-000027000000}"/>
    <cellStyle name="Normal 3 8" xfId="54" xr:uid="{00000000-0005-0000-0000-000028000000}"/>
    <cellStyle name="Normal 4" xfId="9" xr:uid="{00000000-0005-0000-0000-000029000000}"/>
    <cellStyle name="Normal 4 2" xfId="68" xr:uid="{00000000-0005-0000-0000-00002A000000}"/>
    <cellStyle name="Normal 4 3" xfId="60" xr:uid="{00000000-0005-0000-0000-00002B000000}"/>
    <cellStyle name="Normal 5" xfId="8" xr:uid="{00000000-0005-0000-0000-00002C000000}"/>
    <cellStyle name="Normal 5 2" xfId="15" xr:uid="{00000000-0005-0000-0000-00002D000000}"/>
    <cellStyle name="Normal 5 2 2" xfId="28" xr:uid="{00000000-0005-0000-0000-00002E000000}"/>
    <cellStyle name="Normal 5 2 2 2" xfId="50" xr:uid="{00000000-0005-0000-0000-00002F000000}"/>
    <cellStyle name="Normal 5 2 3" xfId="39" xr:uid="{00000000-0005-0000-0000-000030000000}"/>
    <cellStyle name="Normal 5 3" xfId="23" xr:uid="{00000000-0005-0000-0000-000031000000}"/>
    <cellStyle name="Normal 5 3 2" xfId="45" xr:uid="{00000000-0005-0000-0000-000032000000}"/>
    <cellStyle name="Normal 5 4" xfId="34" xr:uid="{00000000-0005-0000-0000-000033000000}"/>
    <cellStyle name="Normal 6" xfId="31" xr:uid="{00000000-0005-0000-0000-000034000000}"/>
    <cellStyle name="Normal 6 2" xfId="53" xr:uid="{00000000-0005-0000-0000-000035000000}"/>
    <cellStyle name="Normal 7" xfId="19" xr:uid="{00000000-0005-0000-0000-000036000000}"/>
    <cellStyle name="Normal 7 2" xfId="70" xr:uid="{00000000-0005-0000-0000-000037000000}"/>
    <cellStyle name="Normal 7 3" xfId="62" xr:uid="{00000000-0005-0000-0000-000038000000}"/>
    <cellStyle name="Normal 8" xfId="18" xr:uid="{00000000-0005-0000-0000-000039000000}"/>
    <cellStyle name="Normal 8 2" xfId="42" xr:uid="{00000000-0005-0000-0000-00003A000000}"/>
    <cellStyle name="Normal 9" xfId="1" xr:uid="{00000000-0005-0000-0000-00003B000000}"/>
    <cellStyle name="Percent 2" xfId="5" xr:uid="{00000000-0005-0000-0000-00003C000000}"/>
    <cellStyle name="Percent 2 2" xfId="66" xr:uid="{00000000-0005-0000-0000-00003D000000}"/>
    <cellStyle name="Percent 2 3" xfId="58" xr:uid="{00000000-0005-0000-0000-00003E000000}"/>
    <cellStyle name="Percent 3" xfId="10" xr:uid="{00000000-0005-0000-0000-00003F000000}"/>
    <cellStyle name="Percent 3 2" xfId="69" xr:uid="{00000000-0005-0000-0000-000040000000}"/>
    <cellStyle name="Percent 3 3" xfId="61" xr:uid="{00000000-0005-0000-0000-000041000000}"/>
    <cellStyle name="Percent 4" xfId="20" xr:uid="{00000000-0005-0000-0000-000042000000}"/>
    <cellStyle name="Percent 4 2" xfId="71" xr:uid="{00000000-0005-0000-0000-000043000000}"/>
    <cellStyle name="Percent 4 3" xfId="63" xr:uid="{00000000-0005-0000-0000-000044000000}"/>
    <cellStyle name="Percent 5" xfId="3" xr:uid="{00000000-0005-0000-0000-000045000000}"/>
    <cellStyle name="Percent 5 2" xfId="57" xr:uid="{00000000-0005-0000-0000-000046000000}"/>
    <cellStyle name="Percent 6" xfId="65" xr:uid="{00000000-0005-0000-0000-000047000000}"/>
  </cellStyles>
  <dxfs count="8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ont>
        <color theme="0"/>
      </font>
    </dxf>
    <dxf>
      <font>
        <color rgb="FFFF0000"/>
      </font>
    </dxf>
    <dxf>
      <fill>
        <patternFill>
          <fgColor indexed="64"/>
          <bgColor rgb="FFFF0000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O157"/>
  <sheetViews>
    <sheetView tabSelected="1" workbookViewId="0">
      <selection activeCell="G28" sqref="G28"/>
    </sheetView>
  </sheetViews>
  <sheetFormatPr defaultColWidth="10" defaultRowHeight="14.4" x14ac:dyDescent="0.3"/>
  <cols>
    <col min="1" max="1" width="13" style="1" customWidth="1"/>
    <col min="2" max="2" width="13.6640625" style="1" bestFit="1" customWidth="1"/>
    <col min="3" max="3" width="15.109375" style="1" customWidth="1"/>
    <col min="4" max="4" width="13.109375" style="1" bestFit="1" customWidth="1"/>
    <col min="5" max="5" width="13.6640625" style="1" customWidth="1"/>
    <col min="6" max="6" width="49.88671875" style="1" customWidth="1"/>
    <col min="7" max="9" width="11.88671875" style="1" customWidth="1"/>
    <col min="10" max="11" width="9.5546875" style="1" customWidth="1"/>
    <col min="12" max="12" width="11" style="1" bestFit="1" customWidth="1"/>
    <col min="13" max="13" width="12" style="1" bestFit="1" customWidth="1"/>
    <col min="14" max="14" width="9.88671875" style="1" bestFit="1" customWidth="1"/>
    <col min="15" max="15" width="12.88671875" style="1" bestFit="1" customWidth="1"/>
    <col min="16" max="16" width="10" style="1" customWidth="1"/>
    <col min="17" max="16384" width="10" style="1"/>
  </cols>
  <sheetData>
    <row r="1" spans="1:15" ht="15" customHeight="1" x14ac:dyDescent="0.3">
      <c r="A1" s="15" t="s">
        <v>22</v>
      </c>
      <c r="B1" s="15"/>
      <c r="C1" s="15"/>
      <c r="D1" s="9"/>
      <c r="E1" s="6" t="s">
        <v>16</v>
      </c>
      <c r="F1" s="10" t="s">
        <v>47</v>
      </c>
      <c r="G1" s="1" t="s">
        <v>27</v>
      </c>
      <c r="H1" s="1">
        <f ca="1">SUMIF($F$14:$G$14992,"1*",$G$14:$G$14992)</f>
        <v>1191138</v>
      </c>
      <c r="N1" s="2"/>
    </row>
    <row r="2" spans="1:15" ht="15" customHeight="1" x14ac:dyDescent="0.3">
      <c r="A2" s="16" t="s">
        <v>23</v>
      </c>
      <c r="B2" s="16"/>
      <c r="C2" s="7" t="s">
        <v>24</v>
      </c>
      <c r="E2" s="6" t="s">
        <v>17</v>
      </c>
      <c r="F2" s="10" t="s">
        <v>1</v>
      </c>
      <c r="G2" s="1" t="s">
        <v>28</v>
      </c>
      <c r="H2" s="1">
        <f ca="1">SUMIF($F$14:$G$14992,"2*",$G$14:$G$14992)</f>
        <v>921705</v>
      </c>
    </row>
    <row r="3" spans="1:15" ht="15" customHeight="1" x14ac:dyDescent="0.3">
      <c r="A3" s="14" t="s">
        <v>124</v>
      </c>
      <c r="B3" s="14"/>
      <c r="C3" s="11"/>
      <c r="E3" s="6" t="s">
        <v>18</v>
      </c>
      <c r="F3" s="10" t="s">
        <v>0</v>
      </c>
      <c r="G3" s="1" t="s">
        <v>29</v>
      </c>
      <c r="H3" s="1">
        <f ca="1">SUMIF($F$14:$G$14992,"3*",$G$14:$G$14992)</f>
        <v>7372914</v>
      </c>
    </row>
    <row r="4" spans="1:15" ht="15" customHeight="1" x14ac:dyDescent="0.3">
      <c r="A4" s="14" t="s">
        <v>125</v>
      </c>
      <c r="B4" s="14"/>
      <c r="C4" s="8"/>
      <c r="E4" s="6" t="s">
        <v>19</v>
      </c>
      <c r="F4" s="10" t="s">
        <v>49</v>
      </c>
      <c r="G4" s="1" t="s">
        <v>30</v>
      </c>
      <c r="H4" s="1">
        <f ca="1">SUMIF($F$14:$G$14992,"4*",$G$14:$G$14992)</f>
        <v>0</v>
      </c>
    </row>
    <row r="5" spans="1:15" ht="15" customHeight="1" x14ac:dyDescent="0.3">
      <c r="A5" s="14" t="s">
        <v>126</v>
      </c>
      <c r="B5" s="14"/>
      <c r="C5" s="8"/>
      <c r="E5" s="6" t="s">
        <v>20</v>
      </c>
      <c r="F5" s="10" t="s">
        <v>48</v>
      </c>
      <c r="G5" s="1" t="s">
        <v>31</v>
      </c>
      <c r="H5" s="1">
        <f ca="1">SUMIF($F$14:$G$14992,"5*",$G$14:$G$14992)</f>
        <v>0</v>
      </c>
    </row>
    <row r="6" spans="1:15" ht="15" customHeight="1" x14ac:dyDescent="0.3">
      <c r="A6" s="14" t="s">
        <v>127</v>
      </c>
      <c r="B6" s="14"/>
      <c r="C6" s="8"/>
      <c r="E6" s="6" t="s">
        <v>21</v>
      </c>
      <c r="F6" s="10" t="s">
        <v>2</v>
      </c>
      <c r="G6" s="1" t="s">
        <v>32</v>
      </c>
      <c r="H6" s="1">
        <f ca="1">SUMIF($F$14:$G$14992,"6*",$G$14:$G$14992)</f>
        <v>0</v>
      </c>
    </row>
    <row r="7" spans="1:15" ht="15" customHeight="1" x14ac:dyDescent="0.3">
      <c r="A7" s="14" t="s">
        <v>128</v>
      </c>
      <c r="B7" s="14"/>
      <c r="C7" s="8"/>
      <c r="G7" s="1" t="s">
        <v>33</v>
      </c>
      <c r="H7" s="1">
        <f ca="1">SUMIF($F$14:$G$14992,"7*",$G$14:$G$14992)</f>
        <v>0</v>
      </c>
    </row>
    <row r="8" spans="1:15" ht="15" customHeight="1" x14ac:dyDescent="0.3">
      <c r="A8" s="14" t="s">
        <v>129</v>
      </c>
      <c r="B8" s="14"/>
      <c r="C8" s="8"/>
      <c r="E8" s="6" t="s">
        <v>25</v>
      </c>
      <c r="F8" s="12">
        <f>SUM($E$14:$E$14992)</f>
        <v>9485757</v>
      </c>
      <c r="G8" s="1" t="s">
        <v>34</v>
      </c>
      <c r="H8" s="1">
        <f ca="1">SUMIF($F$14:$G$14992,"8*",$G$14:$G$14992)</f>
        <v>0</v>
      </c>
    </row>
    <row r="9" spans="1:15" ht="15" customHeight="1" x14ac:dyDescent="0.3">
      <c r="A9" s="14" t="s">
        <v>130</v>
      </c>
      <c r="B9" s="14"/>
      <c r="C9" s="8"/>
      <c r="E9" s="6" t="s">
        <v>26</v>
      </c>
      <c r="F9" s="12">
        <f>SUM($G$14:$G$14992)</f>
        <v>9485757</v>
      </c>
    </row>
    <row r="10" spans="1:15" ht="15" customHeight="1" thickBot="1" x14ac:dyDescent="0.35">
      <c r="A10" s="14" t="s">
        <v>131</v>
      </c>
      <c r="B10" s="14"/>
      <c r="C10" s="8"/>
      <c r="E10" s="6" t="s">
        <v>7</v>
      </c>
      <c r="F10" s="12">
        <f>F9-F8</f>
        <v>0</v>
      </c>
      <c r="G10" s="13" t="s">
        <v>35</v>
      </c>
      <c r="H10" s="13">
        <f ca="1">SUM(H1:H8)</f>
        <v>9485757</v>
      </c>
    </row>
    <row r="11" spans="1:15" ht="15" customHeight="1" thickTop="1" x14ac:dyDescent="0.3">
      <c r="A11" s="14" t="s">
        <v>132</v>
      </c>
      <c r="B11" s="14"/>
      <c r="C11" s="8"/>
    </row>
    <row r="12" spans="1:15" ht="15" customHeight="1" x14ac:dyDescent="0.3">
      <c r="A12" s="3"/>
    </row>
    <row r="13" spans="1:15" ht="28.8" x14ac:dyDescent="0.3">
      <c r="A13" s="5" t="s">
        <v>3</v>
      </c>
      <c r="B13" s="5" t="s">
        <v>4</v>
      </c>
      <c r="C13" s="5" t="s">
        <v>23</v>
      </c>
      <c r="D13" s="5" t="s">
        <v>122</v>
      </c>
      <c r="E13" s="5" t="s">
        <v>5</v>
      </c>
      <c r="F13" s="5" t="s">
        <v>123</v>
      </c>
      <c r="G13" s="5" t="s">
        <v>6</v>
      </c>
      <c r="H13" s="5" t="s">
        <v>7</v>
      </c>
      <c r="I13" s="5" t="s">
        <v>8</v>
      </c>
      <c r="J13" s="5" t="s">
        <v>14</v>
      </c>
      <c r="K13" s="5" t="s">
        <v>15</v>
      </c>
      <c r="L13" s="5" t="s">
        <v>9</v>
      </c>
      <c r="M13" s="5" t="s">
        <v>10</v>
      </c>
      <c r="N13" s="5" t="s">
        <v>11</v>
      </c>
      <c r="O13" s="5" t="s">
        <v>12</v>
      </c>
    </row>
    <row r="14" spans="1:15" x14ac:dyDescent="0.3">
      <c r="A14" s="4" t="s">
        <v>50</v>
      </c>
      <c r="B14" s="4" t="s">
        <v>36</v>
      </c>
      <c r="C14" s="4" t="s">
        <v>133</v>
      </c>
      <c r="D14" s="4" t="s">
        <v>43</v>
      </c>
      <c r="E14" s="4">
        <v>47196</v>
      </c>
      <c r="F14" s="4" t="s">
        <v>46</v>
      </c>
      <c r="G14" s="4">
        <v>47196</v>
      </c>
      <c r="H14" s="4">
        <v>0</v>
      </c>
      <c r="I14" s="4">
        <v>0</v>
      </c>
      <c r="J14" s="4" t="s">
        <v>145</v>
      </c>
      <c r="K14" s="4"/>
      <c r="L14" s="4"/>
      <c r="M14" s="4"/>
      <c r="N14" s="4"/>
      <c r="O14" s="4"/>
    </row>
    <row r="15" spans="1:15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</row>
    <row r="16" spans="1:15" x14ac:dyDescent="0.3">
      <c r="A16" s="4" t="s">
        <v>51</v>
      </c>
      <c r="B16" s="4" t="s">
        <v>36</v>
      </c>
      <c r="C16" s="4" t="s">
        <v>134</v>
      </c>
      <c r="D16" s="4">
        <v>22313032</v>
      </c>
      <c r="E16" s="4">
        <v>57147</v>
      </c>
      <c r="F16" s="4" t="s">
        <v>46</v>
      </c>
      <c r="G16" s="4">
        <v>57147</v>
      </c>
      <c r="H16" s="4">
        <v>0</v>
      </c>
      <c r="I16" s="4">
        <v>0</v>
      </c>
      <c r="J16" s="4" t="s">
        <v>145</v>
      </c>
      <c r="K16" s="4"/>
      <c r="L16" s="4"/>
      <c r="M16" s="4"/>
      <c r="N16" s="4"/>
      <c r="O16" s="4"/>
    </row>
    <row r="17" spans="1:15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</row>
    <row r="18" spans="1:15" x14ac:dyDescent="0.3">
      <c r="A18" s="4" t="s">
        <v>52</v>
      </c>
      <c r="B18" s="4" t="s">
        <v>36</v>
      </c>
      <c r="C18" s="4" t="s">
        <v>136</v>
      </c>
      <c r="D18" s="4">
        <v>1231313</v>
      </c>
      <c r="E18" s="4">
        <v>92031</v>
      </c>
      <c r="F18" s="4" t="s">
        <v>45</v>
      </c>
      <c r="G18" s="4">
        <v>92031</v>
      </c>
      <c r="H18" s="4">
        <v>0</v>
      </c>
      <c r="I18" s="4">
        <v>0</v>
      </c>
      <c r="J18" s="4" t="s">
        <v>145</v>
      </c>
      <c r="K18" s="4"/>
      <c r="L18" s="4"/>
      <c r="M18" s="4"/>
      <c r="N18" s="4"/>
      <c r="O18" s="4"/>
    </row>
    <row r="19" spans="1:15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</row>
    <row r="20" spans="1:15" x14ac:dyDescent="0.3">
      <c r="A20" s="4" t="s">
        <v>53</v>
      </c>
      <c r="B20" s="4" t="s">
        <v>36</v>
      </c>
      <c r="C20" s="4" t="s">
        <v>136</v>
      </c>
      <c r="D20" s="4">
        <v>5742547</v>
      </c>
      <c r="E20" s="4">
        <v>481179</v>
      </c>
      <c r="F20" s="4" t="s">
        <v>45</v>
      </c>
      <c r="G20" s="4">
        <v>481179</v>
      </c>
      <c r="H20" s="4">
        <v>0</v>
      </c>
      <c r="I20" s="4">
        <v>0</v>
      </c>
      <c r="J20" s="4" t="s">
        <v>145</v>
      </c>
      <c r="K20" s="4"/>
      <c r="L20" s="4"/>
      <c r="M20" s="4"/>
      <c r="N20" s="4"/>
      <c r="O20" s="4"/>
    </row>
    <row r="21" spans="1:15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</row>
    <row r="22" spans="1:15" x14ac:dyDescent="0.3">
      <c r="A22" s="4" t="s">
        <v>54</v>
      </c>
      <c r="B22" s="4" t="s">
        <v>36</v>
      </c>
      <c r="C22" s="4" t="s">
        <v>136</v>
      </c>
      <c r="D22" s="4">
        <v>3513167</v>
      </c>
      <c r="E22" s="4">
        <v>17766</v>
      </c>
      <c r="F22" s="4" t="s">
        <v>45</v>
      </c>
      <c r="G22" s="4">
        <v>17766</v>
      </c>
      <c r="H22" s="4">
        <v>0</v>
      </c>
      <c r="I22" s="4">
        <v>0</v>
      </c>
      <c r="J22" s="4" t="s">
        <v>145</v>
      </c>
      <c r="K22" s="4"/>
      <c r="L22" s="4"/>
      <c r="M22" s="4"/>
      <c r="N22" s="4"/>
      <c r="O22" s="4"/>
    </row>
    <row r="23" spans="1:15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</row>
    <row r="24" spans="1:15" x14ac:dyDescent="0.3">
      <c r="A24" s="4" t="s">
        <v>55</v>
      </c>
      <c r="B24" s="4" t="s">
        <v>36</v>
      </c>
      <c r="C24" s="4" t="s">
        <v>136</v>
      </c>
      <c r="D24" s="4">
        <v>4549786</v>
      </c>
      <c r="E24" s="4">
        <v>1037259</v>
      </c>
      <c r="F24" s="4" t="s">
        <v>45</v>
      </c>
      <c r="G24" s="4">
        <v>1037259</v>
      </c>
      <c r="H24" s="4">
        <v>0</v>
      </c>
      <c r="I24" s="4">
        <v>0</v>
      </c>
      <c r="J24" s="4" t="s">
        <v>145</v>
      </c>
      <c r="K24" s="4"/>
      <c r="L24" s="4"/>
      <c r="M24" s="4"/>
      <c r="N24" s="4"/>
      <c r="O24" s="4"/>
    </row>
    <row r="25" spans="1:15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</row>
    <row r="26" spans="1:15" x14ac:dyDescent="0.3">
      <c r="A26" s="4" t="s">
        <v>56</v>
      </c>
      <c r="B26" s="4" t="s">
        <v>37</v>
      </c>
      <c r="C26" s="4" t="s">
        <v>136</v>
      </c>
      <c r="D26" s="4">
        <v>5651651</v>
      </c>
      <c r="E26" s="4">
        <v>900</v>
      </c>
      <c r="F26" s="4" t="s">
        <v>44</v>
      </c>
      <c r="G26" s="4">
        <v>900</v>
      </c>
      <c r="H26" s="4">
        <v>0</v>
      </c>
      <c r="I26" s="4">
        <v>0</v>
      </c>
      <c r="J26" s="4" t="s">
        <v>145</v>
      </c>
      <c r="K26" s="4"/>
      <c r="L26" s="4"/>
      <c r="M26" s="4"/>
      <c r="N26" s="4"/>
      <c r="O26" s="4"/>
    </row>
    <row r="27" spans="1:15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28" spans="1:15" x14ac:dyDescent="0.3">
      <c r="A28" s="4" t="s">
        <v>57</v>
      </c>
      <c r="B28" s="4" t="s">
        <v>37</v>
      </c>
      <c r="C28" s="4" t="s">
        <v>136</v>
      </c>
      <c r="D28" s="4">
        <v>8456161</v>
      </c>
      <c r="E28" s="4">
        <v>3510</v>
      </c>
      <c r="F28" s="4" t="s">
        <v>45</v>
      </c>
      <c r="G28" s="4">
        <v>3510</v>
      </c>
      <c r="H28" s="4">
        <v>0</v>
      </c>
      <c r="I28" s="4">
        <v>0</v>
      </c>
      <c r="J28" s="4" t="s">
        <v>145</v>
      </c>
      <c r="K28" s="4"/>
      <c r="L28" s="4"/>
      <c r="M28" s="4"/>
      <c r="N28" s="4"/>
      <c r="O28" s="4"/>
    </row>
    <row r="29" spans="1:15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</row>
    <row r="30" spans="1:15" x14ac:dyDescent="0.3">
      <c r="A30" s="4" t="s">
        <v>58</v>
      </c>
      <c r="B30" s="4" t="s">
        <v>37</v>
      </c>
      <c r="C30" s="4" t="s">
        <v>136</v>
      </c>
      <c r="D30" s="4">
        <v>6631632</v>
      </c>
      <c r="E30" s="4">
        <v>144156</v>
      </c>
      <c r="F30" s="4" t="s">
        <v>45</v>
      </c>
      <c r="G30" s="4">
        <v>144156</v>
      </c>
      <c r="H30" s="4">
        <v>0</v>
      </c>
      <c r="I30" s="4">
        <v>0</v>
      </c>
      <c r="J30" s="4" t="s">
        <v>145</v>
      </c>
      <c r="K30" s="4"/>
      <c r="L30" s="4"/>
      <c r="M30" s="4"/>
      <c r="N30" s="4"/>
      <c r="O30" s="4"/>
    </row>
    <row r="31" spans="1:15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</row>
    <row r="32" spans="1:15" x14ac:dyDescent="0.3">
      <c r="A32" s="4" t="s">
        <v>59</v>
      </c>
      <c r="B32" s="4" t="s">
        <v>37</v>
      </c>
      <c r="C32" s="4" t="s">
        <v>136</v>
      </c>
      <c r="D32" s="4">
        <v>6511313</v>
      </c>
      <c r="E32" s="4">
        <v>133959</v>
      </c>
      <c r="F32" s="4" t="s">
        <v>45</v>
      </c>
      <c r="G32" s="4">
        <v>133959</v>
      </c>
      <c r="H32" s="4">
        <v>0</v>
      </c>
      <c r="I32" s="4">
        <v>0</v>
      </c>
      <c r="J32" s="4" t="s">
        <v>145</v>
      </c>
      <c r="K32" s="4"/>
      <c r="L32" s="4"/>
      <c r="M32" s="4"/>
      <c r="N32" s="4"/>
      <c r="O32" s="4"/>
    </row>
    <row r="33" spans="1:15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</row>
    <row r="34" spans="1:15" x14ac:dyDescent="0.3">
      <c r="A34" s="4" t="s">
        <v>60</v>
      </c>
      <c r="B34" s="4" t="s">
        <v>37</v>
      </c>
      <c r="C34" s="4" t="s">
        <v>135</v>
      </c>
      <c r="D34" s="4">
        <v>5651661</v>
      </c>
      <c r="E34" s="4">
        <v>29106</v>
      </c>
      <c r="F34" s="4" t="s">
        <v>46</v>
      </c>
      <c r="G34" s="4">
        <v>29106</v>
      </c>
      <c r="H34" s="4">
        <v>0</v>
      </c>
      <c r="I34" s="4">
        <v>0</v>
      </c>
      <c r="J34" s="4" t="s">
        <v>145</v>
      </c>
      <c r="K34" s="4"/>
      <c r="L34" s="4"/>
      <c r="M34" s="4"/>
      <c r="N34" s="4"/>
      <c r="O34" s="4"/>
    </row>
    <row r="35" spans="1:15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</row>
    <row r="36" spans="1:15" x14ac:dyDescent="0.3">
      <c r="A36" s="4" t="s">
        <v>61</v>
      </c>
      <c r="B36" s="4" t="s">
        <v>37</v>
      </c>
      <c r="C36" s="4" t="s">
        <v>134</v>
      </c>
      <c r="D36" s="4">
        <v>62615161</v>
      </c>
      <c r="E36" s="4">
        <v>78201</v>
      </c>
      <c r="F36" s="4" t="s">
        <v>45</v>
      </c>
      <c r="G36" s="4">
        <v>78201</v>
      </c>
      <c r="H36" s="4">
        <v>0</v>
      </c>
      <c r="I36" s="4">
        <v>0</v>
      </c>
      <c r="J36" s="4" t="s">
        <v>145</v>
      </c>
      <c r="K36" s="4"/>
      <c r="L36" s="4"/>
      <c r="M36" s="4"/>
      <c r="N36" s="4"/>
      <c r="O36" s="4"/>
    </row>
    <row r="37" spans="1:15" x14ac:dyDescent="0.3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</row>
    <row r="38" spans="1:15" x14ac:dyDescent="0.3">
      <c r="A38" s="4" t="s">
        <v>62</v>
      </c>
      <c r="B38" s="4" t="s">
        <v>37</v>
      </c>
      <c r="C38" s="4" t="s">
        <v>134</v>
      </c>
      <c r="D38" s="4">
        <v>65695157</v>
      </c>
      <c r="E38" s="4">
        <v>14175</v>
      </c>
      <c r="F38" s="4" t="s">
        <v>45</v>
      </c>
      <c r="G38" s="4">
        <v>14175</v>
      </c>
      <c r="H38" s="4">
        <v>0</v>
      </c>
      <c r="I38" s="4">
        <v>0</v>
      </c>
      <c r="J38" s="4" t="s">
        <v>145</v>
      </c>
      <c r="K38" s="4"/>
      <c r="L38" s="4"/>
      <c r="M38" s="4"/>
      <c r="N38" s="4"/>
      <c r="O38" s="4"/>
    </row>
    <row r="39" spans="1:15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</row>
    <row r="40" spans="1:15" x14ac:dyDescent="0.3">
      <c r="A40" s="4" t="s">
        <v>63</v>
      </c>
      <c r="B40" s="4" t="s">
        <v>37</v>
      </c>
      <c r="C40" s="4" t="s">
        <v>13</v>
      </c>
      <c r="D40" s="4">
        <v>1111</v>
      </c>
      <c r="E40" s="4">
        <v>7443</v>
      </c>
      <c r="F40" s="4" t="s">
        <v>45</v>
      </c>
      <c r="G40" s="4">
        <v>7443</v>
      </c>
      <c r="H40" s="4">
        <v>0</v>
      </c>
      <c r="I40" s="4">
        <v>0</v>
      </c>
      <c r="J40" s="4" t="s">
        <v>145</v>
      </c>
      <c r="K40" s="4"/>
      <c r="L40" s="4"/>
      <c r="M40" s="4"/>
      <c r="N40" s="4"/>
      <c r="O40" s="4"/>
    </row>
    <row r="41" spans="1:15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</row>
    <row r="42" spans="1:15" x14ac:dyDescent="0.3">
      <c r="A42" s="4" t="s">
        <v>64</v>
      </c>
      <c r="B42" s="4" t="s">
        <v>41</v>
      </c>
      <c r="C42" s="4" t="s">
        <v>13</v>
      </c>
      <c r="D42" s="4">
        <f>D40+1</f>
        <v>1112</v>
      </c>
      <c r="E42" s="4">
        <v>66627</v>
      </c>
      <c r="F42" s="4" t="s">
        <v>45</v>
      </c>
      <c r="G42" s="4">
        <v>66627</v>
      </c>
      <c r="H42" s="4">
        <v>0</v>
      </c>
      <c r="I42" s="4">
        <v>0</v>
      </c>
      <c r="J42" s="4" t="s">
        <v>145</v>
      </c>
      <c r="K42" s="4"/>
      <c r="L42" s="4"/>
      <c r="M42" s="4"/>
      <c r="N42" s="4"/>
      <c r="O42" s="4"/>
    </row>
    <row r="43" spans="1:15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</row>
    <row r="44" spans="1:15" x14ac:dyDescent="0.3">
      <c r="A44" s="4" t="s">
        <v>65</v>
      </c>
      <c r="B44" s="4" t="s">
        <v>41</v>
      </c>
      <c r="C44" s="4" t="s">
        <v>13</v>
      </c>
      <c r="D44" s="4">
        <f>D42+1</f>
        <v>1113</v>
      </c>
      <c r="E44" s="4">
        <v>25506</v>
      </c>
      <c r="F44" s="4" t="s">
        <v>46</v>
      </c>
      <c r="G44" s="4">
        <v>25506</v>
      </c>
      <c r="H44" s="4">
        <v>0</v>
      </c>
      <c r="I44" s="4">
        <v>0</v>
      </c>
      <c r="J44" s="4" t="s">
        <v>145</v>
      </c>
      <c r="K44" s="4"/>
      <c r="L44" s="4"/>
      <c r="M44" s="4"/>
      <c r="N44" s="4"/>
      <c r="O44" s="4"/>
    </row>
    <row r="45" spans="1:15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</row>
    <row r="46" spans="1:15" x14ac:dyDescent="0.3">
      <c r="A46" s="4" t="s">
        <v>66</v>
      </c>
      <c r="B46" s="4" t="s">
        <v>39</v>
      </c>
      <c r="C46" s="4" t="s">
        <v>13</v>
      </c>
      <c r="D46" s="4">
        <f t="shared" ref="D46" si="0">D44+1</f>
        <v>1114</v>
      </c>
      <c r="E46" s="4">
        <v>3009</v>
      </c>
      <c r="F46" s="4" t="s">
        <v>44</v>
      </c>
      <c r="G46" s="4">
        <v>3009</v>
      </c>
      <c r="H46" s="4">
        <v>0</v>
      </c>
      <c r="I46" s="4">
        <v>0</v>
      </c>
      <c r="J46" s="4" t="s">
        <v>145</v>
      </c>
      <c r="K46" s="4"/>
      <c r="L46" s="4"/>
      <c r="M46" s="4"/>
      <c r="N46" s="4"/>
      <c r="O46" s="4"/>
    </row>
    <row r="47" spans="1:15" x14ac:dyDescent="0.3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</row>
    <row r="48" spans="1:15" x14ac:dyDescent="0.3">
      <c r="A48" s="4" t="s">
        <v>67</v>
      </c>
      <c r="B48" s="4" t="s">
        <v>39</v>
      </c>
      <c r="C48" s="4" t="s">
        <v>13</v>
      </c>
      <c r="D48" s="4">
        <f t="shared" ref="D48" si="1">D46+1</f>
        <v>1115</v>
      </c>
      <c r="E48" s="4">
        <v>21750</v>
      </c>
      <c r="F48" s="4" t="s">
        <v>45</v>
      </c>
      <c r="G48" s="4">
        <v>21750</v>
      </c>
      <c r="H48" s="4">
        <v>0</v>
      </c>
      <c r="I48" s="4">
        <v>0</v>
      </c>
      <c r="J48" s="4" t="s">
        <v>145</v>
      </c>
      <c r="K48" s="4"/>
      <c r="L48" s="4"/>
      <c r="M48" s="4"/>
      <c r="N48" s="4"/>
      <c r="O48" s="4"/>
    </row>
    <row r="49" spans="1:15" x14ac:dyDescent="0.3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</row>
    <row r="50" spans="1:15" x14ac:dyDescent="0.3">
      <c r="A50" s="4" t="s">
        <v>68</v>
      </c>
      <c r="B50" s="4" t="s">
        <v>39</v>
      </c>
      <c r="C50" s="4" t="s">
        <v>13</v>
      </c>
      <c r="D50" s="4">
        <f t="shared" ref="D50" si="2">D48+1</f>
        <v>1116</v>
      </c>
      <c r="E50" s="4">
        <v>1200</v>
      </c>
      <c r="F50" s="4" t="s">
        <v>44</v>
      </c>
      <c r="G50" s="4">
        <v>1200</v>
      </c>
      <c r="H50" s="4">
        <v>0</v>
      </c>
      <c r="I50" s="4">
        <v>0</v>
      </c>
      <c r="J50" s="4" t="s">
        <v>145</v>
      </c>
      <c r="K50" s="4"/>
      <c r="L50" s="4"/>
      <c r="M50" s="4"/>
      <c r="N50" s="4"/>
      <c r="O50" s="4"/>
    </row>
    <row r="51" spans="1:15" x14ac:dyDescent="0.3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</row>
    <row r="52" spans="1:15" x14ac:dyDescent="0.3">
      <c r="A52" s="4" t="s">
        <v>69</v>
      </c>
      <c r="B52" s="4" t="s">
        <v>39</v>
      </c>
      <c r="C52" s="4" t="s">
        <v>13</v>
      </c>
      <c r="D52" s="4">
        <f t="shared" ref="D52" si="3">D50+1</f>
        <v>1117</v>
      </c>
      <c r="E52" s="4">
        <v>62622</v>
      </c>
      <c r="F52" s="4" t="s">
        <v>45</v>
      </c>
      <c r="G52" s="4">
        <v>62622</v>
      </c>
      <c r="H52" s="4">
        <v>0</v>
      </c>
      <c r="I52" s="4">
        <v>0</v>
      </c>
      <c r="J52" s="4" t="s">
        <v>145</v>
      </c>
      <c r="K52" s="4"/>
      <c r="L52" s="4"/>
      <c r="M52" s="4"/>
      <c r="N52" s="4"/>
      <c r="O52" s="4"/>
    </row>
    <row r="53" spans="1:15" x14ac:dyDescent="0.3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</row>
    <row r="54" spans="1:15" x14ac:dyDescent="0.3">
      <c r="A54" s="4" t="s">
        <v>70</v>
      </c>
      <c r="B54" s="4" t="s">
        <v>42</v>
      </c>
      <c r="C54" s="4" t="s">
        <v>13</v>
      </c>
      <c r="D54" s="4">
        <f t="shared" ref="D54" si="4">D52+1</f>
        <v>1118</v>
      </c>
      <c r="E54" s="4">
        <v>3000</v>
      </c>
      <c r="F54" s="4" t="s">
        <v>44</v>
      </c>
      <c r="G54" s="4">
        <v>3000</v>
      </c>
      <c r="H54" s="4">
        <v>0</v>
      </c>
      <c r="I54" s="4">
        <v>0</v>
      </c>
      <c r="J54" s="4" t="s">
        <v>145</v>
      </c>
      <c r="K54" s="4"/>
      <c r="L54" s="4"/>
      <c r="M54" s="4"/>
      <c r="N54" s="4"/>
      <c r="O54" s="4"/>
    </row>
    <row r="55" spans="1:15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</row>
    <row r="56" spans="1:15" x14ac:dyDescent="0.3">
      <c r="A56" s="4" t="s">
        <v>71</v>
      </c>
      <c r="B56" s="4" t="s">
        <v>42</v>
      </c>
      <c r="C56" s="4" t="s">
        <v>13</v>
      </c>
      <c r="D56" s="4">
        <f t="shared" ref="D56" si="5">D54+1</f>
        <v>1119</v>
      </c>
      <c r="E56" s="4">
        <v>152964</v>
      </c>
      <c r="F56" s="4" t="s">
        <v>46</v>
      </c>
      <c r="G56" s="4">
        <v>152964</v>
      </c>
      <c r="H56" s="4">
        <v>0</v>
      </c>
      <c r="I56" s="4">
        <v>0</v>
      </c>
      <c r="J56" s="4" t="s">
        <v>145</v>
      </c>
      <c r="K56" s="4"/>
      <c r="L56" s="4"/>
      <c r="M56" s="4"/>
      <c r="N56" s="4"/>
      <c r="O56" s="4"/>
    </row>
    <row r="57" spans="1:15" x14ac:dyDescent="0.3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</row>
    <row r="58" spans="1:15" x14ac:dyDescent="0.3">
      <c r="A58" s="4" t="s">
        <v>72</v>
      </c>
      <c r="B58" s="4" t="s">
        <v>38</v>
      </c>
      <c r="C58" s="4" t="s">
        <v>13</v>
      </c>
      <c r="D58" s="4">
        <f t="shared" ref="D58" si="6">D56+1</f>
        <v>1120</v>
      </c>
      <c r="E58" s="4">
        <v>69057</v>
      </c>
      <c r="F58" s="4" t="s">
        <v>45</v>
      </c>
      <c r="G58" s="4">
        <v>69057</v>
      </c>
      <c r="H58" s="4">
        <v>0</v>
      </c>
      <c r="I58" s="4">
        <v>0</v>
      </c>
      <c r="J58" s="4" t="s">
        <v>145</v>
      </c>
      <c r="K58" s="4"/>
      <c r="L58" s="4"/>
      <c r="M58" s="4"/>
      <c r="N58" s="4"/>
      <c r="O58" s="4"/>
    </row>
    <row r="59" spans="1:15" x14ac:dyDescent="0.3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</row>
    <row r="60" spans="1:15" x14ac:dyDescent="0.3">
      <c r="A60" s="4" t="s">
        <v>73</v>
      </c>
      <c r="B60" s="4" t="s">
        <v>38</v>
      </c>
      <c r="C60" s="4" t="s">
        <v>13</v>
      </c>
      <c r="D60" s="4">
        <f t="shared" ref="D60" si="7">D58+1</f>
        <v>1121</v>
      </c>
      <c r="E60" s="4">
        <v>21876</v>
      </c>
      <c r="F60" s="4" t="s">
        <v>46</v>
      </c>
      <c r="G60" s="4">
        <v>21876</v>
      </c>
      <c r="H60" s="4">
        <v>0</v>
      </c>
      <c r="I60" s="4">
        <v>0</v>
      </c>
      <c r="J60" s="4" t="s">
        <v>145</v>
      </c>
      <c r="K60" s="4"/>
      <c r="L60" s="4"/>
      <c r="M60" s="4"/>
      <c r="N60" s="4"/>
      <c r="O60" s="4"/>
    </row>
    <row r="61" spans="1:15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</row>
    <row r="62" spans="1:15" x14ac:dyDescent="0.3">
      <c r="A62" s="4" t="s">
        <v>74</v>
      </c>
      <c r="B62" s="4" t="s">
        <v>38</v>
      </c>
      <c r="C62" s="4" t="s">
        <v>13</v>
      </c>
      <c r="D62" s="4">
        <f t="shared" ref="D62" si="8">D60+1</f>
        <v>1122</v>
      </c>
      <c r="E62" s="4">
        <v>28248</v>
      </c>
      <c r="F62" s="4" t="s">
        <v>44</v>
      </c>
      <c r="G62" s="4">
        <v>28248</v>
      </c>
      <c r="H62" s="4">
        <v>0</v>
      </c>
      <c r="I62" s="4">
        <v>0</v>
      </c>
      <c r="J62" s="4" t="s">
        <v>145</v>
      </c>
      <c r="K62" s="4"/>
      <c r="L62" s="4"/>
      <c r="M62" s="4"/>
      <c r="N62" s="4"/>
      <c r="O62" s="4"/>
    </row>
    <row r="63" spans="1:15" x14ac:dyDescent="0.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</row>
    <row r="64" spans="1:15" x14ac:dyDescent="0.3">
      <c r="A64" s="4" t="s">
        <v>75</v>
      </c>
      <c r="B64" s="4" t="s">
        <v>38</v>
      </c>
      <c r="C64" s="4" t="s">
        <v>13</v>
      </c>
      <c r="D64" s="4">
        <f t="shared" ref="D64" si="9">D62+1</f>
        <v>1123</v>
      </c>
      <c r="E64" s="4">
        <v>9300</v>
      </c>
      <c r="F64" s="4" t="s">
        <v>44</v>
      </c>
      <c r="G64" s="4">
        <v>9300</v>
      </c>
      <c r="H64" s="4">
        <v>0</v>
      </c>
      <c r="I64" s="4">
        <v>0</v>
      </c>
      <c r="J64" s="4" t="s">
        <v>145</v>
      </c>
      <c r="K64" s="4"/>
      <c r="L64" s="4"/>
      <c r="M64" s="4"/>
      <c r="N64" s="4"/>
      <c r="O64" s="4"/>
    </row>
    <row r="65" spans="1:15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</row>
    <row r="66" spans="1:15" x14ac:dyDescent="0.3">
      <c r="A66" s="4" t="s">
        <v>76</v>
      </c>
      <c r="B66" s="4" t="s">
        <v>38</v>
      </c>
      <c r="C66" s="4" t="s">
        <v>13</v>
      </c>
      <c r="D66" s="4">
        <f t="shared" ref="D66" si="10">D64+1</f>
        <v>1124</v>
      </c>
      <c r="E66" s="4">
        <v>11700</v>
      </c>
      <c r="F66" s="4" t="s">
        <v>44</v>
      </c>
      <c r="G66" s="4">
        <v>11700</v>
      </c>
      <c r="H66" s="4">
        <v>0</v>
      </c>
      <c r="I66" s="4">
        <v>0</v>
      </c>
      <c r="J66" s="4" t="s">
        <v>145</v>
      </c>
      <c r="K66" s="4"/>
      <c r="L66" s="4"/>
      <c r="M66" s="4"/>
      <c r="N66" s="4"/>
      <c r="O66" s="4"/>
    </row>
    <row r="67" spans="1:15" x14ac:dyDescent="0.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</row>
    <row r="68" spans="1:15" x14ac:dyDescent="0.3">
      <c r="A68" s="4" t="s">
        <v>77</v>
      </c>
      <c r="B68" s="4" t="s">
        <v>38</v>
      </c>
      <c r="C68" s="4" t="s">
        <v>13</v>
      </c>
      <c r="D68" s="4">
        <f t="shared" ref="D68" si="11">D66+1</f>
        <v>1125</v>
      </c>
      <c r="E68" s="4">
        <v>4200</v>
      </c>
      <c r="F68" s="4" t="s">
        <v>44</v>
      </c>
      <c r="G68" s="4">
        <v>4200</v>
      </c>
      <c r="H68" s="4">
        <v>0</v>
      </c>
      <c r="I68" s="4">
        <v>0</v>
      </c>
      <c r="J68" s="4" t="s">
        <v>145</v>
      </c>
      <c r="K68" s="4"/>
      <c r="L68" s="4"/>
      <c r="M68" s="4"/>
      <c r="N68" s="4"/>
      <c r="O68" s="4"/>
    </row>
    <row r="69" spans="1:15" x14ac:dyDescent="0.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</row>
    <row r="70" spans="1:15" x14ac:dyDescent="0.3">
      <c r="A70" s="4" t="s">
        <v>78</v>
      </c>
      <c r="B70" s="4" t="s">
        <v>38</v>
      </c>
      <c r="C70" s="4" t="s">
        <v>13</v>
      </c>
      <c r="D70" s="4">
        <f t="shared" ref="D70" si="12">D68+1</f>
        <v>1126</v>
      </c>
      <c r="E70" s="4">
        <v>119100</v>
      </c>
      <c r="F70" s="4" t="s">
        <v>44</v>
      </c>
      <c r="G70" s="4">
        <v>119100</v>
      </c>
      <c r="H70" s="4">
        <v>0</v>
      </c>
      <c r="I70" s="4">
        <v>0</v>
      </c>
      <c r="J70" s="4" t="s">
        <v>145</v>
      </c>
      <c r="K70" s="4"/>
      <c r="L70" s="4"/>
      <c r="M70" s="4"/>
      <c r="N70" s="4"/>
      <c r="O70" s="4"/>
    </row>
    <row r="71" spans="1:15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</row>
    <row r="72" spans="1:15" x14ac:dyDescent="0.3">
      <c r="A72" s="4" t="s">
        <v>79</v>
      </c>
      <c r="B72" s="4" t="s">
        <v>38</v>
      </c>
      <c r="C72" s="4" t="s">
        <v>13</v>
      </c>
      <c r="D72" s="4">
        <f t="shared" ref="D72" si="13">D70+1</f>
        <v>1127</v>
      </c>
      <c r="E72" s="4">
        <v>25140</v>
      </c>
      <c r="F72" s="4" t="s">
        <v>45</v>
      </c>
      <c r="G72" s="4">
        <v>25140</v>
      </c>
      <c r="H72" s="4">
        <v>0</v>
      </c>
      <c r="I72" s="4">
        <v>0</v>
      </c>
      <c r="J72" s="4" t="s">
        <v>145</v>
      </c>
      <c r="K72" s="4"/>
      <c r="L72" s="4"/>
      <c r="M72" s="4"/>
      <c r="N72" s="4"/>
      <c r="O72" s="4"/>
    </row>
    <row r="73" spans="1:15" x14ac:dyDescent="0.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</row>
    <row r="74" spans="1:15" x14ac:dyDescent="0.3">
      <c r="A74" s="4" t="s">
        <v>80</v>
      </c>
      <c r="B74" s="4" t="s">
        <v>38</v>
      </c>
      <c r="C74" s="4" t="s">
        <v>13</v>
      </c>
      <c r="D74" s="4">
        <f t="shared" ref="D74" si="14">D72+1</f>
        <v>1128</v>
      </c>
      <c r="E74" s="4">
        <v>1356</v>
      </c>
      <c r="F74" s="4" t="s">
        <v>46</v>
      </c>
      <c r="G74" s="4">
        <v>1356</v>
      </c>
      <c r="H74" s="4">
        <v>0</v>
      </c>
      <c r="I74" s="4">
        <v>0</v>
      </c>
      <c r="J74" s="4" t="s">
        <v>145</v>
      </c>
      <c r="K74" s="4"/>
      <c r="L74" s="4"/>
      <c r="M74" s="4"/>
      <c r="N74" s="4"/>
      <c r="O74" s="4"/>
    </row>
    <row r="75" spans="1:15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</row>
    <row r="76" spans="1:15" x14ac:dyDescent="0.3">
      <c r="A76" s="4" t="s">
        <v>81</v>
      </c>
      <c r="B76" s="4" t="s">
        <v>38</v>
      </c>
      <c r="C76" s="4" t="s">
        <v>13</v>
      </c>
      <c r="D76" s="4">
        <f t="shared" ref="D76" si="15">D74+1</f>
        <v>1129</v>
      </c>
      <c r="E76" s="4">
        <v>74400</v>
      </c>
      <c r="F76" s="4" t="s">
        <v>44</v>
      </c>
      <c r="G76" s="4">
        <v>74400</v>
      </c>
      <c r="H76" s="4">
        <v>0</v>
      </c>
      <c r="I76" s="4">
        <v>0</v>
      </c>
      <c r="J76" s="4" t="s">
        <v>145</v>
      </c>
      <c r="K76" s="4"/>
      <c r="L76" s="4"/>
      <c r="M76" s="4"/>
      <c r="N76" s="4"/>
      <c r="O76" s="4"/>
    </row>
    <row r="77" spans="1:15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</row>
    <row r="78" spans="1:15" x14ac:dyDescent="0.3">
      <c r="A78" s="4" t="s">
        <v>82</v>
      </c>
      <c r="B78" s="4" t="s">
        <v>38</v>
      </c>
      <c r="C78" s="4" t="s">
        <v>13</v>
      </c>
      <c r="D78" s="4">
        <f t="shared" ref="D78" si="16">D76+1</f>
        <v>1130</v>
      </c>
      <c r="E78" s="4">
        <v>41700</v>
      </c>
      <c r="F78" s="4" t="s">
        <v>44</v>
      </c>
      <c r="G78" s="4">
        <v>41700</v>
      </c>
      <c r="H78" s="4">
        <v>0</v>
      </c>
      <c r="I78" s="4">
        <v>0</v>
      </c>
      <c r="J78" s="4" t="s">
        <v>145</v>
      </c>
      <c r="K78" s="4"/>
      <c r="L78" s="4"/>
      <c r="M78" s="4"/>
      <c r="N78" s="4"/>
      <c r="O78" s="4"/>
    </row>
    <row r="79" spans="1:15" x14ac:dyDescent="0.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</row>
    <row r="80" spans="1:15" x14ac:dyDescent="0.3">
      <c r="A80" s="4" t="s">
        <v>83</v>
      </c>
      <c r="B80" s="4" t="s">
        <v>40</v>
      </c>
      <c r="C80" s="4" t="s">
        <v>13</v>
      </c>
      <c r="D80" s="4">
        <f t="shared" ref="D80" si="17">D78+1</f>
        <v>1131</v>
      </c>
      <c r="E80" s="4">
        <v>22800</v>
      </c>
      <c r="F80" s="4" t="s">
        <v>44</v>
      </c>
      <c r="G80" s="4">
        <v>22800</v>
      </c>
      <c r="H80" s="4">
        <v>0</v>
      </c>
      <c r="I80" s="4">
        <v>0</v>
      </c>
      <c r="J80" s="4" t="s">
        <v>145</v>
      </c>
      <c r="K80" s="4"/>
      <c r="L80" s="4"/>
      <c r="M80" s="4"/>
      <c r="N80" s="4"/>
      <c r="O80" s="4"/>
    </row>
    <row r="81" spans="1:15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</row>
    <row r="82" spans="1:15" x14ac:dyDescent="0.3">
      <c r="A82" s="4" t="s">
        <v>84</v>
      </c>
      <c r="B82" s="4" t="s">
        <v>40</v>
      </c>
      <c r="C82" s="4" t="s">
        <v>13</v>
      </c>
      <c r="D82" s="4">
        <f t="shared" ref="D82" si="18">D80+1</f>
        <v>1132</v>
      </c>
      <c r="E82" s="4">
        <v>4401</v>
      </c>
      <c r="F82" s="4" t="s">
        <v>44</v>
      </c>
      <c r="G82" s="4">
        <v>4401</v>
      </c>
      <c r="H82" s="4">
        <v>0</v>
      </c>
      <c r="I82" s="4">
        <v>0</v>
      </c>
      <c r="J82" s="4" t="s">
        <v>145</v>
      </c>
      <c r="K82" s="4"/>
      <c r="L82" s="4"/>
      <c r="M82" s="4"/>
      <c r="N82" s="4"/>
      <c r="O82" s="4"/>
    </row>
    <row r="83" spans="1:15" x14ac:dyDescent="0.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</row>
    <row r="84" spans="1:15" x14ac:dyDescent="0.3">
      <c r="A84" s="4" t="s">
        <v>85</v>
      </c>
      <c r="B84" s="4" t="s">
        <v>40</v>
      </c>
      <c r="C84" s="4" t="s">
        <v>13</v>
      </c>
      <c r="D84" s="4">
        <f t="shared" ref="D84" si="19">D82+1</f>
        <v>1133</v>
      </c>
      <c r="E84" s="4">
        <v>152550</v>
      </c>
      <c r="F84" s="4" t="s">
        <v>46</v>
      </c>
      <c r="G84" s="4">
        <v>152550</v>
      </c>
      <c r="H84" s="4">
        <v>0</v>
      </c>
      <c r="I84" s="4">
        <v>0</v>
      </c>
      <c r="J84" s="4" t="s">
        <v>145</v>
      </c>
      <c r="K84" s="4"/>
      <c r="L84" s="4"/>
      <c r="M84" s="4"/>
      <c r="N84" s="4"/>
      <c r="O84" s="4"/>
    </row>
    <row r="85" spans="1:15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</row>
    <row r="86" spans="1:15" x14ac:dyDescent="0.3">
      <c r="A86" s="4" t="s">
        <v>86</v>
      </c>
      <c r="B86" s="4" t="s">
        <v>40</v>
      </c>
      <c r="C86" s="4" t="s">
        <v>13</v>
      </c>
      <c r="D86" s="4">
        <f t="shared" ref="D86" si="20">D84+1</f>
        <v>1134</v>
      </c>
      <c r="E86" s="4">
        <v>155529</v>
      </c>
      <c r="F86" s="4" t="s">
        <v>46</v>
      </c>
      <c r="G86" s="4">
        <v>155529</v>
      </c>
      <c r="H86" s="4">
        <v>0</v>
      </c>
      <c r="I86" s="4">
        <v>0</v>
      </c>
      <c r="J86" s="4" t="s">
        <v>145</v>
      </c>
      <c r="K86" s="4"/>
      <c r="L86" s="4"/>
      <c r="M86" s="4"/>
      <c r="N86" s="4"/>
      <c r="O86" s="4"/>
    </row>
    <row r="87" spans="1:15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</row>
    <row r="88" spans="1:15" x14ac:dyDescent="0.3">
      <c r="A88" s="4" t="s">
        <v>87</v>
      </c>
      <c r="B88" s="4" t="s">
        <v>40</v>
      </c>
      <c r="C88" s="4" t="s">
        <v>13</v>
      </c>
      <c r="D88" s="4">
        <f t="shared" ref="D88" si="21">D86+1</f>
        <v>1135</v>
      </c>
      <c r="E88" s="4">
        <v>47433</v>
      </c>
      <c r="F88" s="4" t="s">
        <v>46</v>
      </c>
      <c r="G88" s="4">
        <v>47433</v>
      </c>
      <c r="H88" s="4">
        <v>0</v>
      </c>
      <c r="I88" s="4">
        <v>0</v>
      </c>
      <c r="J88" s="4" t="s">
        <v>145</v>
      </c>
      <c r="K88" s="4"/>
      <c r="L88" s="4"/>
      <c r="M88" s="4"/>
      <c r="N88" s="4"/>
      <c r="O88" s="4"/>
    </row>
    <row r="89" spans="1:15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</row>
    <row r="90" spans="1:15" x14ac:dyDescent="0.3">
      <c r="A90" s="4" t="s">
        <v>88</v>
      </c>
      <c r="B90" s="4" t="s">
        <v>40</v>
      </c>
      <c r="C90" s="4" t="s">
        <v>13</v>
      </c>
      <c r="D90" s="4">
        <f t="shared" ref="D90" si="22">D88+1</f>
        <v>1136</v>
      </c>
      <c r="E90" s="4">
        <v>47940</v>
      </c>
      <c r="F90" s="4" t="s">
        <v>46</v>
      </c>
      <c r="G90" s="4">
        <v>47940</v>
      </c>
      <c r="H90" s="4">
        <v>0</v>
      </c>
      <c r="I90" s="4">
        <v>0</v>
      </c>
      <c r="J90" s="4" t="s">
        <v>145</v>
      </c>
      <c r="K90" s="4"/>
      <c r="L90" s="4"/>
      <c r="M90" s="4"/>
      <c r="N90" s="4"/>
      <c r="O90" s="4"/>
    </row>
    <row r="91" spans="1:15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</row>
    <row r="92" spans="1:15" x14ac:dyDescent="0.3">
      <c r="A92" s="4" t="s">
        <v>89</v>
      </c>
      <c r="B92" s="4" t="s">
        <v>40</v>
      </c>
      <c r="C92" s="4" t="s">
        <v>13</v>
      </c>
      <c r="D92" s="4">
        <f t="shared" ref="D92" si="23">D90+1</f>
        <v>1137</v>
      </c>
      <c r="E92" s="4">
        <v>3900</v>
      </c>
      <c r="F92" s="4" t="s">
        <v>44</v>
      </c>
      <c r="G92" s="4">
        <v>3900</v>
      </c>
      <c r="H92" s="4">
        <v>0</v>
      </c>
      <c r="I92" s="4">
        <v>0</v>
      </c>
      <c r="J92" s="4" t="s">
        <v>145</v>
      </c>
      <c r="K92" s="4"/>
      <c r="L92" s="4"/>
      <c r="M92" s="4"/>
      <c r="N92" s="4"/>
      <c r="O92" s="4"/>
    </row>
    <row r="93" spans="1:15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</row>
    <row r="94" spans="1:15" x14ac:dyDescent="0.3">
      <c r="A94" s="4" t="s">
        <v>90</v>
      </c>
      <c r="B94" s="4" t="s">
        <v>40</v>
      </c>
      <c r="C94" s="4" t="s">
        <v>13</v>
      </c>
      <c r="D94" s="4">
        <f t="shared" ref="D94" si="24">D92+1</f>
        <v>1138</v>
      </c>
      <c r="E94" s="4">
        <v>17400</v>
      </c>
      <c r="F94" s="4" t="s">
        <v>44</v>
      </c>
      <c r="G94" s="4">
        <v>17400</v>
      </c>
      <c r="H94" s="4">
        <v>0</v>
      </c>
      <c r="I94" s="4">
        <v>0</v>
      </c>
      <c r="J94" s="4" t="s">
        <v>145</v>
      </c>
      <c r="K94" s="4"/>
      <c r="L94" s="4"/>
      <c r="M94" s="4"/>
      <c r="N94" s="4"/>
      <c r="O94" s="4"/>
    </row>
    <row r="95" spans="1:15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</row>
    <row r="96" spans="1:15" x14ac:dyDescent="0.3">
      <c r="A96" s="4" t="s">
        <v>91</v>
      </c>
      <c r="B96" s="4" t="s">
        <v>40</v>
      </c>
      <c r="C96" s="4" t="s">
        <v>13</v>
      </c>
      <c r="D96" s="4">
        <f t="shared" ref="D96" si="25">D94+1</f>
        <v>1139</v>
      </c>
      <c r="E96" s="4">
        <v>105939</v>
      </c>
      <c r="F96" s="4" t="s">
        <v>44</v>
      </c>
      <c r="G96" s="4">
        <v>105939</v>
      </c>
      <c r="H96" s="4">
        <v>0</v>
      </c>
      <c r="I96" s="4">
        <v>0</v>
      </c>
      <c r="J96" s="4" t="s">
        <v>145</v>
      </c>
      <c r="K96" s="4"/>
      <c r="L96" s="4"/>
      <c r="M96" s="4"/>
      <c r="N96" s="4"/>
      <c r="O96" s="4"/>
    </row>
    <row r="97" spans="1:15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</row>
    <row r="98" spans="1:15" x14ac:dyDescent="0.3">
      <c r="A98" s="4" t="s">
        <v>92</v>
      </c>
      <c r="B98" s="4" t="s">
        <v>40</v>
      </c>
      <c r="C98" s="4" t="s">
        <v>13</v>
      </c>
      <c r="D98" s="4">
        <f t="shared" ref="D98" si="26">D96+1</f>
        <v>1140</v>
      </c>
      <c r="E98" s="4">
        <v>434847</v>
      </c>
      <c r="F98" s="4" t="s">
        <v>45</v>
      </c>
      <c r="G98" s="4">
        <v>434847</v>
      </c>
      <c r="H98" s="4">
        <v>0</v>
      </c>
      <c r="I98" s="4">
        <v>0</v>
      </c>
      <c r="J98" s="4" t="s">
        <v>145</v>
      </c>
      <c r="K98" s="4"/>
      <c r="L98" s="4"/>
      <c r="M98" s="4"/>
      <c r="N98" s="4"/>
      <c r="O98" s="4"/>
    </row>
    <row r="99" spans="1:15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</row>
    <row r="100" spans="1:15" x14ac:dyDescent="0.3">
      <c r="A100" s="4" t="s">
        <v>93</v>
      </c>
      <c r="B100" s="4" t="s">
        <v>40</v>
      </c>
      <c r="C100" s="4" t="s">
        <v>13</v>
      </c>
      <c r="D100" s="4">
        <f t="shared" ref="D100" si="27">D98+1</f>
        <v>1141</v>
      </c>
      <c r="E100" s="4">
        <v>3368877</v>
      </c>
      <c r="F100" s="4" t="s">
        <v>45</v>
      </c>
      <c r="G100" s="4">
        <v>3368877</v>
      </c>
      <c r="H100" s="4">
        <v>0</v>
      </c>
      <c r="I100" s="4">
        <v>0</v>
      </c>
      <c r="J100" s="4" t="s">
        <v>145</v>
      </c>
      <c r="K100" s="4"/>
      <c r="L100" s="4"/>
      <c r="M100" s="4"/>
      <c r="N100" s="4"/>
      <c r="O100" s="4"/>
    </row>
    <row r="101" spans="1:15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</row>
    <row r="102" spans="1:15" x14ac:dyDescent="0.3">
      <c r="A102" s="4" t="s">
        <v>94</v>
      </c>
      <c r="B102" s="4" t="s">
        <v>40</v>
      </c>
      <c r="C102" s="4" t="s">
        <v>13</v>
      </c>
      <c r="D102" s="4">
        <f t="shared" ref="D102" si="28">D100+1</f>
        <v>1142</v>
      </c>
      <c r="E102" s="4">
        <v>243615</v>
      </c>
      <c r="F102" s="4" t="s">
        <v>45</v>
      </c>
      <c r="G102" s="4">
        <v>243615</v>
      </c>
      <c r="H102" s="4">
        <v>0</v>
      </c>
      <c r="I102" s="4">
        <v>0</v>
      </c>
      <c r="J102" s="4" t="s">
        <v>145</v>
      </c>
      <c r="K102" s="4"/>
      <c r="L102" s="4"/>
      <c r="M102" s="4"/>
      <c r="N102" s="4"/>
      <c r="O102" s="4"/>
    </row>
    <row r="103" spans="1:15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</row>
    <row r="104" spans="1:15" x14ac:dyDescent="0.3">
      <c r="A104" s="4" t="s">
        <v>95</v>
      </c>
      <c r="B104" s="4" t="s">
        <v>40</v>
      </c>
      <c r="C104" s="4" t="s">
        <v>13</v>
      </c>
      <c r="D104" s="4">
        <f t="shared" ref="D104" si="29">D102+1</f>
        <v>1143</v>
      </c>
      <c r="E104" s="4">
        <v>127698</v>
      </c>
      <c r="F104" s="4" t="s">
        <v>45</v>
      </c>
      <c r="G104" s="4">
        <v>127698</v>
      </c>
      <c r="H104" s="4">
        <v>0</v>
      </c>
      <c r="I104" s="4">
        <v>0</v>
      </c>
      <c r="J104" s="4" t="s">
        <v>145</v>
      </c>
      <c r="K104" s="4"/>
      <c r="L104" s="4"/>
      <c r="M104" s="4"/>
      <c r="N104" s="4"/>
      <c r="O104" s="4"/>
    </row>
    <row r="105" spans="1:15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</row>
    <row r="106" spans="1:15" x14ac:dyDescent="0.3">
      <c r="A106" s="4" t="s">
        <v>96</v>
      </c>
      <c r="B106" s="4" t="s">
        <v>40</v>
      </c>
      <c r="C106" s="4" t="s">
        <v>13</v>
      </c>
      <c r="D106" s="4">
        <f t="shared" ref="D106" si="30">D104+1</f>
        <v>1144</v>
      </c>
      <c r="E106" s="4">
        <v>76719</v>
      </c>
      <c r="F106" s="4" t="s">
        <v>45</v>
      </c>
      <c r="G106" s="4">
        <v>76719</v>
      </c>
      <c r="H106" s="4">
        <v>0</v>
      </c>
      <c r="I106" s="4">
        <v>0</v>
      </c>
      <c r="J106" s="4" t="s">
        <v>145</v>
      </c>
      <c r="K106" s="4"/>
      <c r="L106" s="4"/>
      <c r="M106" s="4"/>
      <c r="N106" s="4"/>
      <c r="O106" s="4"/>
    </row>
    <row r="107" spans="1:15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</row>
    <row r="108" spans="1:15" x14ac:dyDescent="0.3">
      <c r="A108" s="4" t="s">
        <v>97</v>
      </c>
      <c r="B108" s="4" t="s">
        <v>40</v>
      </c>
      <c r="C108" s="4" t="s">
        <v>13</v>
      </c>
      <c r="D108" s="4">
        <f t="shared" ref="D108" si="31">D106+1</f>
        <v>1145</v>
      </c>
      <c r="E108" s="4">
        <v>85500</v>
      </c>
      <c r="F108" s="4" t="s">
        <v>44</v>
      </c>
      <c r="G108" s="4">
        <v>85500</v>
      </c>
      <c r="H108" s="4">
        <v>0</v>
      </c>
      <c r="I108" s="4">
        <v>0</v>
      </c>
      <c r="J108" s="4" t="s">
        <v>145</v>
      </c>
      <c r="K108" s="4"/>
      <c r="L108" s="4"/>
      <c r="M108" s="4"/>
      <c r="N108" s="4"/>
      <c r="O108" s="4"/>
    </row>
    <row r="109" spans="1:15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</row>
    <row r="110" spans="1:15" x14ac:dyDescent="0.3">
      <c r="A110" s="4" t="s">
        <v>98</v>
      </c>
      <c r="B110" s="4" t="s">
        <v>40</v>
      </c>
      <c r="C110" s="4" t="s">
        <v>13</v>
      </c>
      <c r="D110" s="4">
        <f t="shared" ref="D110" si="32">D108+1</f>
        <v>1146</v>
      </c>
      <c r="E110" s="4">
        <v>133500</v>
      </c>
      <c r="F110" s="4" t="s">
        <v>44</v>
      </c>
      <c r="G110" s="4">
        <v>133500</v>
      </c>
      <c r="H110" s="4">
        <v>0</v>
      </c>
      <c r="I110" s="4">
        <v>0</v>
      </c>
      <c r="J110" s="4" t="s">
        <v>145</v>
      </c>
      <c r="K110" s="4"/>
      <c r="L110" s="4"/>
      <c r="M110" s="4"/>
      <c r="N110" s="4"/>
      <c r="O110" s="4"/>
    </row>
    <row r="111" spans="1:15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</row>
    <row r="112" spans="1:15" x14ac:dyDescent="0.3">
      <c r="A112" s="4" t="s">
        <v>99</v>
      </c>
      <c r="B112" s="4" t="s">
        <v>40</v>
      </c>
      <c r="C112" s="4" t="s">
        <v>13</v>
      </c>
      <c r="D112" s="4">
        <f t="shared" ref="D112" si="33">D110+1</f>
        <v>1147</v>
      </c>
      <c r="E112" s="4">
        <v>8388</v>
      </c>
      <c r="F112" s="4" t="s">
        <v>46</v>
      </c>
      <c r="G112" s="4">
        <v>8388</v>
      </c>
      <c r="H112" s="4">
        <v>0</v>
      </c>
      <c r="I112" s="4">
        <v>0</v>
      </c>
      <c r="J112" s="4" t="s">
        <v>145</v>
      </c>
      <c r="K112" s="4"/>
      <c r="L112" s="4"/>
      <c r="M112" s="4"/>
      <c r="N112" s="4"/>
      <c r="O112" s="4"/>
    </row>
    <row r="113" spans="1:15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</row>
    <row r="114" spans="1:15" x14ac:dyDescent="0.3">
      <c r="A114" s="4" t="s">
        <v>100</v>
      </c>
      <c r="B114" s="4" t="s">
        <v>40</v>
      </c>
      <c r="C114" s="4" t="s">
        <v>13</v>
      </c>
      <c r="D114" s="4">
        <f t="shared" ref="D114" si="34">D112+1</f>
        <v>1148</v>
      </c>
      <c r="E114" s="4">
        <v>6708</v>
      </c>
      <c r="F114" s="4" t="s">
        <v>44</v>
      </c>
      <c r="G114" s="4">
        <v>6708</v>
      </c>
      <c r="H114" s="4">
        <v>0</v>
      </c>
      <c r="I114" s="4">
        <v>0</v>
      </c>
      <c r="J114" s="4" t="s">
        <v>145</v>
      </c>
      <c r="K114" s="4"/>
      <c r="L114" s="4"/>
      <c r="M114" s="4"/>
      <c r="N114" s="4"/>
      <c r="O114" s="4"/>
    </row>
    <row r="115" spans="1:15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</row>
    <row r="116" spans="1:15" x14ac:dyDescent="0.3">
      <c r="A116" s="4" t="s">
        <v>101</v>
      </c>
      <c r="B116" s="4" t="s">
        <v>40</v>
      </c>
      <c r="C116" s="4" t="s">
        <v>13</v>
      </c>
      <c r="D116" s="4">
        <f t="shared" ref="D116" si="35">D114+1</f>
        <v>1149</v>
      </c>
      <c r="E116" s="4">
        <v>385326</v>
      </c>
      <c r="F116" s="4" t="s">
        <v>46</v>
      </c>
      <c r="G116" s="4">
        <v>385326</v>
      </c>
      <c r="H116" s="4">
        <v>0</v>
      </c>
      <c r="I116" s="4">
        <v>0</v>
      </c>
      <c r="J116" s="4" t="s">
        <v>145</v>
      </c>
      <c r="K116" s="4"/>
      <c r="L116" s="4"/>
      <c r="M116" s="4"/>
      <c r="N116" s="4"/>
      <c r="O116" s="4"/>
    </row>
    <row r="117" spans="1:15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</row>
    <row r="118" spans="1:15" x14ac:dyDescent="0.3">
      <c r="A118" s="4" t="s">
        <v>102</v>
      </c>
      <c r="B118" s="4" t="s">
        <v>40</v>
      </c>
      <c r="C118" s="4" t="s">
        <v>13</v>
      </c>
      <c r="D118" s="4">
        <f t="shared" ref="D118" si="36">D116+1</f>
        <v>1150</v>
      </c>
      <c r="E118" s="4">
        <v>6300</v>
      </c>
      <c r="F118" s="4" t="s">
        <v>44</v>
      </c>
      <c r="G118" s="4">
        <v>6300</v>
      </c>
      <c r="H118" s="4">
        <v>0</v>
      </c>
      <c r="I118" s="4">
        <v>0</v>
      </c>
      <c r="J118" s="4" t="s">
        <v>145</v>
      </c>
      <c r="K118" s="4"/>
      <c r="L118" s="4"/>
      <c r="M118" s="4"/>
      <c r="N118" s="4"/>
      <c r="O118" s="4"/>
    </row>
    <row r="119" spans="1:15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</row>
    <row r="120" spans="1:15" x14ac:dyDescent="0.3">
      <c r="A120" s="4" t="s">
        <v>103</v>
      </c>
      <c r="B120" s="4" t="s">
        <v>40</v>
      </c>
      <c r="C120" s="4" t="s">
        <v>13</v>
      </c>
      <c r="D120" s="4">
        <f t="shared" ref="D120" si="37">D118+1</f>
        <v>1151</v>
      </c>
      <c r="E120" s="4">
        <v>3300</v>
      </c>
      <c r="F120" s="4" t="s">
        <v>44</v>
      </c>
      <c r="G120" s="4">
        <v>3300</v>
      </c>
      <c r="H120" s="4">
        <v>0</v>
      </c>
      <c r="I120" s="4">
        <v>0</v>
      </c>
      <c r="J120" s="4" t="s">
        <v>145</v>
      </c>
      <c r="K120" s="4"/>
      <c r="L120" s="4"/>
      <c r="M120" s="4"/>
      <c r="N120" s="4"/>
      <c r="O120" s="4"/>
    </row>
    <row r="121" spans="1:15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</row>
    <row r="122" spans="1:15" x14ac:dyDescent="0.3">
      <c r="A122" s="4" t="s">
        <v>104</v>
      </c>
      <c r="B122" s="4" t="s">
        <v>40</v>
      </c>
      <c r="C122" s="4" t="s">
        <v>13</v>
      </c>
      <c r="D122" s="4">
        <f t="shared" ref="D122" si="38">D120+1</f>
        <v>1152</v>
      </c>
      <c r="E122" s="4">
        <v>16266</v>
      </c>
      <c r="F122" s="4" t="s">
        <v>46</v>
      </c>
      <c r="G122" s="4">
        <v>16266</v>
      </c>
      <c r="H122" s="4">
        <v>0</v>
      </c>
      <c r="I122" s="4">
        <v>0</v>
      </c>
      <c r="J122" s="4" t="s">
        <v>145</v>
      </c>
      <c r="K122" s="4"/>
      <c r="L122" s="4"/>
      <c r="M122" s="4"/>
      <c r="N122" s="4"/>
      <c r="O122" s="4"/>
    </row>
    <row r="123" spans="1:15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</row>
    <row r="124" spans="1:15" x14ac:dyDescent="0.3">
      <c r="A124" s="4" t="s">
        <v>105</v>
      </c>
      <c r="B124" s="4" t="s">
        <v>40</v>
      </c>
      <c r="C124" s="4" t="s">
        <v>13</v>
      </c>
      <c r="D124" s="4">
        <f t="shared" ref="D124" si="39">D122+1</f>
        <v>1153</v>
      </c>
      <c r="E124" s="4">
        <v>398865</v>
      </c>
      <c r="F124" s="4" t="s">
        <v>45</v>
      </c>
      <c r="G124" s="4">
        <v>398865</v>
      </c>
      <c r="H124" s="4">
        <v>0</v>
      </c>
      <c r="I124" s="4">
        <v>0</v>
      </c>
      <c r="J124" s="4" t="s">
        <v>145</v>
      </c>
      <c r="K124" s="4"/>
      <c r="L124" s="4"/>
      <c r="M124" s="4"/>
      <c r="N124" s="4"/>
      <c r="O124" s="4"/>
    </row>
    <row r="125" spans="1:15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</row>
    <row r="126" spans="1:15" x14ac:dyDescent="0.3">
      <c r="A126" s="4" t="s">
        <v>106</v>
      </c>
      <c r="B126" s="4" t="s">
        <v>40</v>
      </c>
      <c r="C126" s="4" t="s">
        <v>13</v>
      </c>
      <c r="D126" s="4">
        <f t="shared" ref="D126" si="40">D124+1</f>
        <v>1154</v>
      </c>
      <c r="E126" s="4">
        <v>7500</v>
      </c>
      <c r="F126" s="4" t="s">
        <v>44</v>
      </c>
      <c r="G126" s="4">
        <v>7500</v>
      </c>
      <c r="H126" s="4">
        <v>0</v>
      </c>
      <c r="I126" s="4">
        <v>0</v>
      </c>
      <c r="J126" s="4" t="s">
        <v>145</v>
      </c>
      <c r="K126" s="4"/>
      <c r="L126" s="4"/>
      <c r="M126" s="4"/>
      <c r="N126" s="4"/>
      <c r="O126" s="4"/>
    </row>
    <row r="127" spans="1:15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</row>
    <row r="128" spans="1:15" x14ac:dyDescent="0.3">
      <c r="A128" s="4" t="s">
        <v>107</v>
      </c>
      <c r="B128" s="4" t="s">
        <v>40</v>
      </c>
      <c r="C128" s="4" t="s">
        <v>13</v>
      </c>
      <c r="D128" s="4">
        <f t="shared" ref="D128" si="41">D126+1</f>
        <v>1155</v>
      </c>
      <c r="E128" s="4">
        <v>17865</v>
      </c>
      <c r="F128" s="4" t="s">
        <v>46</v>
      </c>
      <c r="G128" s="4">
        <v>17865</v>
      </c>
      <c r="H128" s="4">
        <v>0</v>
      </c>
      <c r="I128" s="4">
        <v>0</v>
      </c>
      <c r="J128" s="4" t="s">
        <v>145</v>
      </c>
      <c r="K128" s="4"/>
      <c r="L128" s="4"/>
      <c r="M128" s="4"/>
      <c r="N128" s="4"/>
      <c r="O128" s="4"/>
    </row>
    <row r="129" spans="1:15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</row>
    <row r="130" spans="1:15" x14ac:dyDescent="0.3">
      <c r="A130" s="4" t="s">
        <v>108</v>
      </c>
      <c r="B130" s="4" t="s">
        <v>40</v>
      </c>
      <c r="C130" s="4" t="s">
        <v>13</v>
      </c>
      <c r="D130" s="4">
        <f t="shared" ref="D130" si="42">D128+1</f>
        <v>1156</v>
      </c>
      <c r="E130" s="4">
        <v>4800</v>
      </c>
      <c r="F130" s="4" t="s">
        <v>44</v>
      </c>
      <c r="G130" s="4">
        <v>4800</v>
      </c>
      <c r="H130" s="4">
        <v>0</v>
      </c>
      <c r="I130" s="4">
        <v>0</v>
      </c>
      <c r="J130" s="4" t="s">
        <v>145</v>
      </c>
      <c r="K130" s="4"/>
      <c r="L130" s="4"/>
      <c r="M130" s="4"/>
      <c r="N130" s="4"/>
      <c r="O130" s="4"/>
    </row>
    <row r="131" spans="1:15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</row>
    <row r="132" spans="1:15" x14ac:dyDescent="0.3">
      <c r="A132" s="4" t="s">
        <v>109</v>
      </c>
      <c r="B132" s="4" t="s">
        <v>40</v>
      </c>
      <c r="C132" s="4" t="s">
        <v>13</v>
      </c>
      <c r="D132" s="4">
        <f t="shared" ref="D132" si="43">D130+1</f>
        <v>1157</v>
      </c>
      <c r="E132" s="4">
        <v>16500</v>
      </c>
      <c r="F132" s="4" t="s">
        <v>44</v>
      </c>
      <c r="G132" s="4">
        <v>16500</v>
      </c>
      <c r="H132" s="4">
        <v>0</v>
      </c>
      <c r="I132" s="4">
        <v>0</v>
      </c>
      <c r="J132" s="4" t="s">
        <v>145</v>
      </c>
      <c r="K132" s="4"/>
      <c r="L132" s="4"/>
      <c r="M132" s="4"/>
      <c r="N132" s="4"/>
      <c r="O132" s="4"/>
    </row>
    <row r="133" spans="1:15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</row>
    <row r="134" spans="1:15" x14ac:dyDescent="0.3">
      <c r="A134" s="4" t="s">
        <v>110</v>
      </c>
      <c r="B134" s="4" t="s">
        <v>40</v>
      </c>
      <c r="C134" s="4" t="s">
        <v>13</v>
      </c>
      <c r="D134" s="4">
        <f t="shared" ref="D134" si="44">D132+1</f>
        <v>1158</v>
      </c>
      <c r="E134" s="4">
        <v>3600</v>
      </c>
      <c r="F134" s="4" t="s">
        <v>44</v>
      </c>
      <c r="G134" s="4">
        <v>3600</v>
      </c>
      <c r="H134" s="4">
        <v>0</v>
      </c>
      <c r="I134" s="4">
        <v>0</v>
      </c>
      <c r="J134" s="4" t="s">
        <v>145</v>
      </c>
      <c r="K134" s="4"/>
      <c r="L134" s="4"/>
      <c r="M134" s="4"/>
      <c r="N134" s="4"/>
      <c r="O134" s="4"/>
    </row>
    <row r="135" spans="1:15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</row>
    <row r="136" spans="1:15" x14ac:dyDescent="0.3">
      <c r="A136" s="4" t="s">
        <v>111</v>
      </c>
      <c r="B136" s="4" t="s">
        <v>40</v>
      </c>
      <c r="C136" s="4" t="s">
        <v>13</v>
      </c>
      <c r="D136" s="4">
        <f t="shared" ref="D136" si="45">D134+1</f>
        <v>1159</v>
      </c>
      <c r="E136" s="4">
        <v>137400</v>
      </c>
      <c r="F136" s="4" t="s">
        <v>44</v>
      </c>
      <c r="G136" s="4">
        <v>137400</v>
      </c>
      <c r="H136" s="4">
        <v>0</v>
      </c>
      <c r="I136" s="4">
        <v>0</v>
      </c>
      <c r="J136" s="4" t="s">
        <v>145</v>
      </c>
      <c r="K136" s="4"/>
      <c r="L136" s="4"/>
      <c r="M136" s="4"/>
      <c r="N136" s="4"/>
      <c r="O136" s="4"/>
    </row>
    <row r="137" spans="1:15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</row>
    <row r="138" spans="1:15" x14ac:dyDescent="0.3">
      <c r="A138" s="4" t="s">
        <v>112</v>
      </c>
      <c r="B138" s="4" t="s">
        <v>40</v>
      </c>
      <c r="C138" s="4" t="s">
        <v>13</v>
      </c>
      <c r="D138" s="4">
        <f t="shared" ref="D138" si="46">D136+1</f>
        <v>1160</v>
      </c>
      <c r="E138" s="4">
        <v>15600</v>
      </c>
      <c r="F138" s="4" t="s">
        <v>44</v>
      </c>
      <c r="G138" s="4">
        <v>15600</v>
      </c>
      <c r="H138" s="4">
        <v>0</v>
      </c>
      <c r="I138" s="4">
        <v>0</v>
      </c>
      <c r="J138" s="4" t="s">
        <v>145</v>
      </c>
      <c r="K138" s="4"/>
      <c r="L138" s="4"/>
      <c r="M138" s="4"/>
      <c r="N138" s="4"/>
      <c r="O138" s="4"/>
    </row>
    <row r="139" spans="1:15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</row>
    <row r="140" spans="1:15" x14ac:dyDescent="0.3">
      <c r="A140" s="4" t="s">
        <v>113</v>
      </c>
      <c r="B140" s="4" t="s">
        <v>40</v>
      </c>
      <c r="C140" s="4" t="s">
        <v>13</v>
      </c>
      <c r="D140" s="4">
        <f t="shared" ref="D140" si="47">D138+1</f>
        <v>1161</v>
      </c>
      <c r="E140" s="4">
        <v>22500</v>
      </c>
      <c r="F140" s="4" t="s">
        <v>44</v>
      </c>
      <c r="G140" s="4">
        <v>22500</v>
      </c>
      <c r="H140" s="4">
        <v>0</v>
      </c>
      <c r="I140" s="4">
        <v>0</v>
      </c>
      <c r="J140" s="4" t="s">
        <v>145</v>
      </c>
      <c r="K140" s="4"/>
      <c r="L140" s="4"/>
      <c r="M140" s="4"/>
      <c r="N140" s="4"/>
      <c r="O140" s="4"/>
    </row>
    <row r="141" spans="1:15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</row>
    <row r="142" spans="1:15" x14ac:dyDescent="0.3">
      <c r="A142" s="4" t="s">
        <v>114</v>
      </c>
      <c r="B142" s="4" t="s">
        <v>40</v>
      </c>
      <c r="C142" s="4" t="s">
        <v>13</v>
      </c>
      <c r="D142" s="4">
        <f t="shared" ref="D142" si="48">D140+1</f>
        <v>1162</v>
      </c>
      <c r="E142" s="4">
        <v>19500</v>
      </c>
      <c r="F142" s="4" t="s">
        <v>44</v>
      </c>
      <c r="G142" s="4">
        <v>19500</v>
      </c>
      <c r="H142" s="4">
        <v>0</v>
      </c>
      <c r="I142" s="4">
        <v>0</v>
      </c>
      <c r="J142" s="4" t="s">
        <v>145</v>
      </c>
      <c r="K142" s="4"/>
      <c r="L142" s="4"/>
      <c r="M142" s="4"/>
      <c r="N142" s="4"/>
      <c r="O142" s="4"/>
    </row>
    <row r="143" spans="1:15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</row>
    <row r="144" spans="1:15" x14ac:dyDescent="0.3">
      <c r="A144" s="4" t="s">
        <v>115</v>
      </c>
      <c r="B144" s="4" t="s">
        <v>40</v>
      </c>
      <c r="C144" s="4" t="s">
        <v>137</v>
      </c>
      <c r="D144" s="4">
        <v>4445521331</v>
      </c>
      <c r="E144" s="4">
        <v>6996</v>
      </c>
      <c r="F144" s="4" t="s">
        <v>46</v>
      </c>
      <c r="G144" s="4">
        <v>6996</v>
      </c>
      <c r="H144" s="4">
        <v>0</v>
      </c>
      <c r="I144" s="4">
        <v>0</v>
      </c>
      <c r="J144" s="4" t="s">
        <v>145</v>
      </c>
      <c r="K144" s="4"/>
      <c r="L144" s="4"/>
      <c r="M144" s="4"/>
      <c r="N144" s="4"/>
      <c r="O144" s="4"/>
    </row>
    <row r="145" spans="1:15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</row>
    <row r="146" spans="1:15" x14ac:dyDescent="0.3">
      <c r="A146" s="4" t="s">
        <v>116</v>
      </c>
      <c r="B146" s="4" t="s">
        <v>40</v>
      </c>
      <c r="C146" s="4" t="s">
        <v>138</v>
      </c>
      <c r="D146" s="4" t="s">
        <v>144</v>
      </c>
      <c r="E146" s="4">
        <v>31617</v>
      </c>
      <c r="F146" s="4" t="s">
        <v>45</v>
      </c>
      <c r="G146" s="4">
        <v>31617</v>
      </c>
      <c r="H146" s="4">
        <v>0</v>
      </c>
      <c r="I146" s="4">
        <v>0</v>
      </c>
      <c r="J146" s="4" t="s">
        <v>145</v>
      </c>
      <c r="K146" s="4"/>
      <c r="L146" s="4"/>
      <c r="M146" s="4"/>
      <c r="N146" s="4"/>
      <c r="O146" s="4"/>
    </row>
    <row r="147" spans="1:15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</row>
    <row r="148" spans="1:15" x14ac:dyDescent="0.3">
      <c r="A148" s="4" t="s">
        <v>117</v>
      </c>
      <c r="B148" s="4" t="s">
        <v>40</v>
      </c>
      <c r="C148" s="4" t="s">
        <v>139</v>
      </c>
      <c r="D148" s="4" t="s">
        <v>143</v>
      </c>
      <c r="E148" s="4">
        <v>435801</v>
      </c>
      <c r="F148" s="4" t="s">
        <v>45</v>
      </c>
      <c r="G148" s="4">
        <v>435801</v>
      </c>
      <c r="H148" s="4">
        <v>0</v>
      </c>
      <c r="I148" s="4">
        <v>0</v>
      </c>
      <c r="J148" s="4" t="s">
        <v>145</v>
      </c>
      <c r="K148" s="4"/>
      <c r="L148" s="4"/>
      <c r="M148" s="4"/>
      <c r="N148" s="4"/>
      <c r="O148" s="4"/>
    </row>
    <row r="149" spans="1:15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</row>
    <row r="150" spans="1:15" x14ac:dyDescent="0.3">
      <c r="A150" s="4" t="s">
        <v>118</v>
      </c>
      <c r="B150" s="4" t="s">
        <v>40</v>
      </c>
      <c r="C150" s="4" t="s">
        <v>139</v>
      </c>
      <c r="D150" s="4" t="s">
        <v>142</v>
      </c>
      <c r="E150" s="4">
        <v>8985</v>
      </c>
      <c r="F150" s="4" t="s">
        <v>46</v>
      </c>
      <c r="G150" s="4">
        <v>8985</v>
      </c>
      <c r="H150" s="4">
        <v>0</v>
      </c>
      <c r="I150" s="4">
        <v>0</v>
      </c>
      <c r="J150" s="4" t="s">
        <v>145</v>
      </c>
      <c r="K150" s="4"/>
      <c r="L150" s="4"/>
      <c r="M150" s="4"/>
      <c r="N150" s="4"/>
      <c r="O150" s="4"/>
    </row>
    <row r="151" spans="1:15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</row>
    <row r="152" spans="1:15" x14ac:dyDescent="0.3">
      <c r="A152" s="4" t="s">
        <v>119</v>
      </c>
      <c r="B152" s="4" t="s">
        <v>40</v>
      </c>
      <c r="C152" s="4" t="s">
        <v>139</v>
      </c>
      <c r="D152" s="4" t="s">
        <v>141</v>
      </c>
      <c r="E152" s="4">
        <v>8709</v>
      </c>
      <c r="F152" s="4" t="s">
        <v>46</v>
      </c>
      <c r="G152" s="4">
        <v>8709</v>
      </c>
      <c r="H152" s="4">
        <v>0</v>
      </c>
      <c r="I152" s="4">
        <v>0</v>
      </c>
      <c r="J152" s="4" t="s">
        <v>145</v>
      </c>
      <c r="K152" s="4"/>
      <c r="L152" s="4"/>
      <c r="M152" s="4"/>
      <c r="N152" s="4"/>
      <c r="O152" s="4"/>
    </row>
    <row r="153" spans="1:15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</row>
    <row r="154" spans="1:15" x14ac:dyDescent="0.3">
      <c r="A154" s="4" t="s">
        <v>120</v>
      </c>
      <c r="B154" s="4" t="s">
        <v>40</v>
      </c>
      <c r="C154" s="4" t="s">
        <v>140</v>
      </c>
      <c r="D154" s="4">
        <v>100005558</v>
      </c>
      <c r="E154" s="4">
        <v>1800</v>
      </c>
      <c r="F154" s="4" t="s">
        <v>44</v>
      </c>
      <c r="G154" s="4">
        <v>1800</v>
      </c>
      <c r="H154" s="4">
        <v>0</v>
      </c>
      <c r="I154" s="4">
        <v>0</v>
      </c>
      <c r="J154" s="4" t="s">
        <v>145</v>
      </c>
      <c r="K154" s="4"/>
      <c r="L154" s="4"/>
      <c r="M154" s="4"/>
      <c r="N154" s="4"/>
      <c r="O154" s="4"/>
    </row>
    <row r="155" spans="1:15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</row>
    <row r="156" spans="1:15" x14ac:dyDescent="0.3">
      <c r="A156" s="4" t="s">
        <v>121</v>
      </c>
      <c r="B156" s="4" t="s">
        <v>40</v>
      </c>
      <c r="C156" s="4" t="s">
        <v>140</v>
      </c>
      <c r="D156" s="4">
        <v>100000556</v>
      </c>
      <c r="E156" s="4">
        <v>6000</v>
      </c>
      <c r="F156" s="4" t="s">
        <v>44</v>
      </c>
      <c r="G156" s="4">
        <v>6000</v>
      </c>
      <c r="H156" s="4">
        <v>0</v>
      </c>
      <c r="I156" s="4">
        <v>0</v>
      </c>
      <c r="J156" s="4" t="s">
        <v>145</v>
      </c>
      <c r="K156" s="4"/>
      <c r="L156" s="4"/>
      <c r="M156" s="4"/>
      <c r="N156" s="4"/>
      <c r="O156" s="4"/>
    </row>
    <row r="157" spans="1:15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</row>
  </sheetData>
  <mergeCells count="11">
    <mergeCell ref="A6:B6"/>
    <mergeCell ref="A1:C1"/>
    <mergeCell ref="A2:B2"/>
    <mergeCell ref="A3:B3"/>
    <mergeCell ref="A4:B4"/>
    <mergeCell ref="A5:B5"/>
    <mergeCell ref="A7:B7"/>
    <mergeCell ref="A8:B8"/>
    <mergeCell ref="A9:B9"/>
    <mergeCell ref="A10:B10"/>
    <mergeCell ref="A11:B11"/>
  </mergeCells>
  <conditionalFormatting sqref="A158:O14992 E104 C40:C142 C18:E18 C19:F19 E41:F41 E105:F105 C21:F21 C23:F23 C29:F29 C31:F31 C37:F37 C36:E36 C39:F39 E40 E42 E49:F51 E48 E52 E58 E72 E99:F99 E98 E101:F101 E100 E103:F103 E102 E106 E124 C147:F147 C33:F35 E43:F47 E53:F57 E59:F71 E73:F97 E107:F123 E125:F142 C143:F145 A18:B157 C38:E38 C20:E20 C22:E22 C24:E24 C25:F27 C28:E28 C30:E30 C32:E32 C146:E146 C148:E148 C149:F157 A14:F17 H14:O157">
    <cfRule type="expression" dxfId="7" priority="8">
      <formula>$I14&gt;0</formula>
    </cfRule>
  </conditionalFormatting>
  <conditionalFormatting sqref="H14:H514992">
    <cfRule type="cellIs" dxfId="6" priority="7" operator="notEqual">
      <formula>0</formula>
    </cfRule>
  </conditionalFormatting>
  <conditionalFormatting sqref="F10">
    <cfRule type="cellIs" dxfId="5" priority="6" operator="greaterThan">
      <formula>0</formula>
    </cfRule>
  </conditionalFormatting>
  <conditionalFormatting sqref="G1:H8">
    <cfRule type="expression" dxfId="4" priority="5">
      <formula>$H1=0</formula>
    </cfRule>
  </conditionalFormatting>
  <conditionalFormatting sqref="F18 F104">
    <cfRule type="expression" dxfId="3" priority="13">
      <formula>#REF!&gt;0</formula>
    </cfRule>
  </conditionalFormatting>
  <conditionalFormatting sqref="D40:D142">
    <cfRule type="expression" dxfId="2" priority="3">
      <formula>$I40&gt;0</formula>
    </cfRule>
  </conditionalFormatting>
  <conditionalFormatting sqref="F148 F146 F124 F106 F102 F100 F98 F72 F58 F52 F48 F42 F40 F38 F36 F32 F30 F28 F24 F22 F20">
    <cfRule type="expression" dxfId="1" priority="2">
      <formula>#REF!&gt;0</formula>
    </cfRule>
  </conditionalFormatting>
  <conditionalFormatting sqref="G14:G157">
    <cfRule type="expression" dxfId="0" priority="1">
      <formula>$I14&gt;0</formula>
    </cfRule>
  </conditionalFormatting>
  <pageMargins left="0.70866141732283505" right="0.70866141732283505" top="0.74803149606299202" bottom="0.74803149606299202" header="0.31496062992126" footer="0.31496062992126"/>
  <pageSetup paperSize="9" scale="60" fitToHeight="25" orientation="landscape" cellComments="atEnd" r:id="rId1"/>
  <headerFooter>
    <oddFooter>&amp;LNTAC:3NS-20_x000D_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AGTI Instructions</vt:lpstr>
    </vt:vector>
  </TitlesOfParts>
  <Company>The Northern Trust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Searle</dc:creator>
  <cp:lastModifiedBy>Brooks Woolfolk</cp:lastModifiedBy>
  <dcterms:created xsi:type="dcterms:W3CDTF">2015-03-04T13:18:45Z</dcterms:created>
  <dcterms:modified xsi:type="dcterms:W3CDTF">2019-03-30T01:02:51Z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XSensitivityLevel">
    <vt:lpwstr>3NS-20</vt:lpwstr>
  </property>
  <property fmtid="{D5CDD505-2E9C-101B-9397-08002B2CF9AE}" pid="3" name="xNTACLog">
    <vt:lpwstr>3NS-20201503041320Sms177</vt:lpwstr>
  </property>
  <property fmtid="{D5CDD505-2E9C-101B-9397-08002B2CF9AE}" pid="4" name="xNTACLog1">
    <vt:lpwstr>3NS-20201503041320Sms177</vt:lpwstr>
  </property>
</Properties>
</file>