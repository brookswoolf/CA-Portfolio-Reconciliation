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ooks Woolfolk\GitHub\NT CROSS REFERENCE\"/>
    </mc:Choice>
  </mc:AlternateContent>
  <xr:revisionPtr revIDLastSave="0" documentId="13_ncr:1_{AE1E7F47-0D94-4576-87F9-F28EAFC2F8E6}" xr6:coauthVersionLast="40" xr6:coauthVersionMax="40" xr10:uidLastSave="{00000000-0000-0000-0000-000000000000}"/>
  <bookViews>
    <workbookView xWindow="0" yWindow="0" windowWidth="30720" windowHeight="13368" xr2:uid="{00000000-000D-0000-FFFF-FFFF00000000}"/>
  </bookViews>
  <sheets>
    <sheet name="AGTI Instructions" sheetId="5" r:id="rId1"/>
  </sheets>
  <definedNames>
    <definedName name="_xlnm._FilterDatabase" localSheetId="0" hidden="1">'AGTI Instructions'!$A$13:$O$2773</definedName>
    <definedName name="Current_Date">#REF!</definedName>
    <definedName name="Folio_Number">#REF!</definedName>
  </definedNames>
  <calcPr calcId="191029"/>
</workbook>
</file>

<file path=xl/calcChain.xml><?xml version="1.0" encoding="utf-8"?>
<calcChain xmlns="http://schemas.openxmlformats.org/spreadsheetml/2006/main">
  <c r="H8" i="5" l="1"/>
  <c r="H7" i="5"/>
  <c r="H6" i="5"/>
  <c r="H5" i="5"/>
  <c r="H4" i="5"/>
  <c r="H3" i="5"/>
  <c r="H2" i="5"/>
  <c r="H1" i="5"/>
  <c r="F9" i="5"/>
  <c r="F8" i="5"/>
  <c r="F10" i="5" l="1"/>
  <c r="H10" i="5"/>
</calcChain>
</file>

<file path=xl/sharedStrings.xml><?xml version="1.0" encoding="utf-8"?>
<sst xmlns="http://schemas.openxmlformats.org/spreadsheetml/2006/main" count="5603" uniqueCount="1468">
  <si>
    <t>MERGER CASH &amp; STOCK</t>
  </si>
  <si>
    <t>HIGH</t>
  </si>
  <si>
    <t>Account Name</t>
  </si>
  <si>
    <t>Fund Manager</t>
  </si>
  <si>
    <t>Net Holdings</t>
  </si>
  <si>
    <t>Decision</t>
  </si>
  <si>
    <t>Difference</t>
  </si>
  <si>
    <t>Decision Executed</t>
  </si>
  <si>
    <t>Special Inst</t>
  </si>
  <si>
    <t>Bid Quantity</t>
  </si>
  <si>
    <t xml:space="preserve">  Bid Price</t>
  </si>
  <si>
    <t xml:space="preserve"> Bid Executed</t>
  </si>
  <si>
    <t>AM1 NOR-TS</t>
  </si>
  <si>
    <t>Analyst Sign Off</t>
  </si>
  <si>
    <t>Approver Sign Off</t>
  </si>
  <si>
    <t>Security</t>
  </si>
  <si>
    <t>Offer Type</t>
  </si>
  <si>
    <t>Deadline</t>
  </si>
  <si>
    <t>Folio / BMN</t>
  </si>
  <si>
    <t xml:space="preserve">Security ID </t>
  </si>
  <si>
    <t>Offer Priority</t>
  </si>
  <si>
    <t>Proprietary Link Confirmation Check</t>
  </si>
  <si>
    <t>Custodian</t>
  </si>
  <si>
    <t>Approver</t>
  </si>
  <si>
    <t>Holding Total</t>
  </si>
  <si>
    <t>Decision Total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</si>
  <si>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</si>
  <si>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</si>
  <si>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</si>
  <si>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</si>
  <si>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</si>
  <si>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</si>
  <si>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</si>
  <si>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</si>
  <si>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Total</t>
  </si>
  <si>
    <t>56789/QJD4844</t>
  </si>
  <si>
    <t>COMPANY B</t>
  </si>
  <si>
    <t>Custodian 1</t>
  </si>
  <si>
    <t>Custodian 2</t>
  </si>
  <si>
    <t>Custodian 3</t>
  </si>
  <si>
    <t>Custodian 4</t>
  </si>
  <si>
    <t>Custodian 5</t>
  </si>
  <si>
    <t>Custodian 6</t>
  </si>
  <si>
    <t>Custodian 7</t>
  </si>
  <si>
    <t>Custodian 8</t>
  </si>
  <si>
    <t>NOR-NT</t>
  </si>
  <si>
    <t>PM L1</t>
  </si>
  <si>
    <t>PM 2</t>
  </si>
  <si>
    <t>PM 3</t>
  </si>
  <si>
    <t>PM 1</t>
  </si>
  <si>
    <t>PM 7</t>
  </si>
  <si>
    <t>IE-1111: Account_Name</t>
  </si>
  <si>
    <t>IE-1112: Account_Name</t>
  </si>
  <si>
    <t>IE-1113: Account_Name</t>
  </si>
  <si>
    <t>IE-1114: Account_Name</t>
  </si>
  <si>
    <t>IE-1115: Account_Name</t>
  </si>
  <si>
    <t>IE-1116: Account_Name</t>
  </si>
  <si>
    <t>IE-1117: Account_Name</t>
  </si>
  <si>
    <t>IE-1118: Account_Name</t>
  </si>
  <si>
    <t>IE-1119: Account_Name</t>
  </si>
  <si>
    <t>IE-1120: Account_Name</t>
  </si>
  <si>
    <t>IE-1121: Account_Name</t>
  </si>
  <si>
    <t>IE-1122: Account_Name</t>
  </si>
  <si>
    <t>IE-1123: Account_Name</t>
  </si>
  <si>
    <t>IE-1124: Account_Name</t>
  </si>
  <si>
    <t>IE-1125: Account_Name</t>
  </si>
  <si>
    <t>IE-1126: Account_Name</t>
  </si>
  <si>
    <t>IE-1127: Account_Name</t>
  </si>
  <si>
    <t>IE-1128: Account_Name</t>
  </si>
  <si>
    <t>IE-1129: Account_Name</t>
  </si>
  <si>
    <t>IE-1130: Account_Name</t>
  </si>
  <si>
    <t>IE-1131: Account_Name</t>
  </si>
  <si>
    <t>IE-1132: Account_Name</t>
  </si>
  <si>
    <t>IE-1133: Account_Name</t>
  </si>
  <si>
    <t>IE-1134: Account_Name</t>
  </si>
  <si>
    <t>IE-1135: Account_Name</t>
  </si>
  <si>
    <t>IE-1136: Account_Name</t>
  </si>
  <si>
    <t>IE-1137: Account_Name</t>
  </si>
  <si>
    <t>IE-1138: Account_Name</t>
  </si>
  <si>
    <t>IE-1139: Account_Name</t>
  </si>
  <si>
    <t>IE-1140: Account_Name</t>
  </si>
  <si>
    <t>IE-1141: Account_Name</t>
  </si>
  <si>
    <t>IE-1142: Account_Name</t>
  </si>
  <si>
    <t>IE-1143: Account_Name</t>
  </si>
  <si>
    <t>IE-1144: Account_Name</t>
  </si>
  <si>
    <t>IE-1145: Account_Name</t>
  </si>
  <si>
    <t>IE-1146: Account_Name</t>
  </si>
  <si>
    <t>IE-1147: Account_Name</t>
  </si>
  <si>
    <t>IE-1148: Account_Name</t>
  </si>
  <si>
    <t>IE-1149: Account_Name</t>
  </si>
  <si>
    <t>IE-1150: Account_Name</t>
  </si>
  <si>
    <t>IE-1151: Account_Name</t>
  </si>
  <si>
    <t>IE-1152: Account_Name</t>
  </si>
  <si>
    <t>IE-1153: Account_Name</t>
  </si>
  <si>
    <t>IE-1154: Account_Name</t>
  </si>
  <si>
    <t>IE-1155: Account_Name</t>
  </si>
  <si>
    <t>IE-1156: Account_Name</t>
  </si>
  <si>
    <t>IE-1157: Account_Name</t>
  </si>
  <si>
    <t>IE-1158: Account_Name</t>
  </si>
  <si>
    <t>IE-1159: Account_Name</t>
  </si>
  <si>
    <t>IE-1160: Account_Name</t>
  </si>
  <si>
    <t>IE-1161: Account_Name</t>
  </si>
  <si>
    <t>IE-1162: Account_Name</t>
  </si>
  <si>
    <t>IE-1163: Account_Name</t>
  </si>
  <si>
    <t>IE-1164: Account_Name</t>
  </si>
  <si>
    <t>IE-1165: Account_Name</t>
  </si>
  <si>
    <t>IE-1166: Account_Name</t>
  </si>
  <si>
    <t>IE-1167: Account_Name</t>
  </si>
  <si>
    <t>IE-1168: Account_Name</t>
  </si>
  <si>
    <t>IE-1169: Account_Name</t>
  </si>
  <si>
    <t>IE-1170: Account_Name</t>
  </si>
  <si>
    <t>IE-1171: Account_Name</t>
  </si>
  <si>
    <t>IE-1172: Account_Name</t>
  </si>
  <si>
    <t>IE-1173: Account_Name</t>
  </si>
  <si>
    <t>IE-1174: Account_Name</t>
  </si>
  <si>
    <t>IE-1175: Account_Name</t>
  </si>
  <si>
    <t>IE-1176: Account_Name</t>
  </si>
  <si>
    <t>IE-1177: Account_Name</t>
  </si>
  <si>
    <t>IE-1178: Account_Name</t>
  </si>
  <si>
    <t>IE-1179: Account_Name</t>
  </si>
  <si>
    <t>IE-1180: Account_Name</t>
  </si>
  <si>
    <t>IE-1181: Account_Name</t>
  </si>
  <si>
    <t>IE-1182: Account_Name</t>
  </si>
  <si>
    <t>IE-1183: Account_Name</t>
  </si>
  <si>
    <t>IE-1184: Account_Name</t>
  </si>
  <si>
    <t>IE-1185: Account_Name</t>
  </si>
  <si>
    <t>IE-1186: Account_Name</t>
  </si>
  <si>
    <t>IE-1187: Account_Name</t>
  </si>
  <si>
    <t>IE-1188: Account_Name</t>
  </si>
  <si>
    <t>IE-1189: Account_Name</t>
  </si>
  <si>
    <t>IE-1190: Account_Name</t>
  </si>
  <si>
    <t>IE-1191: Account_Name</t>
  </si>
  <si>
    <t>IE-1192: Account_Name</t>
  </si>
  <si>
    <t>IE-1193: Account_Name</t>
  </si>
  <si>
    <t>IE-1194: Account_Name</t>
  </si>
  <si>
    <t>IE-1195: Account_Name</t>
  </si>
  <si>
    <t>IE-1196: Account_Name</t>
  </si>
  <si>
    <t>IE-1197: Account_Name</t>
  </si>
  <si>
    <t>IE-1198: Account_Name</t>
  </si>
  <si>
    <t>IE-1199: Account_Name</t>
  </si>
  <si>
    <t>IE-1200: Account_Name</t>
  </si>
  <si>
    <t>IE-1201: Account_Name</t>
  </si>
  <si>
    <t>IE-1202: Account_Name</t>
  </si>
  <si>
    <t>IE-1203: Account_Name</t>
  </si>
  <si>
    <t>IE-1204: Account_Name</t>
  </si>
  <si>
    <t>IE-1205: Account_Name</t>
  </si>
  <si>
    <t>IE-1206: Account_Name</t>
  </si>
  <si>
    <t>IE-1207: Account_Name</t>
  </si>
  <si>
    <t>IE-1208: Account_Name</t>
  </si>
  <si>
    <t>IE-1209: Account_Name</t>
  </si>
  <si>
    <t>IE-1210: Account_Name</t>
  </si>
  <si>
    <t>IE-1211: Account_Name</t>
  </si>
  <si>
    <t>IE-1212: Account_Name</t>
  </si>
  <si>
    <t>IE-1213: Account_Name</t>
  </si>
  <si>
    <t>IE-1214: Account_Name</t>
  </si>
  <si>
    <t>IE-1215: Account_Name</t>
  </si>
  <si>
    <t>IE-1216: Account_Name</t>
  </si>
  <si>
    <t>IE-1217: Account_Name</t>
  </si>
  <si>
    <t>IE-1218: Account_Name</t>
  </si>
  <si>
    <t>IE-1219: Account_Name</t>
  </si>
  <si>
    <t>IE-1220: Account_Name</t>
  </si>
  <si>
    <t>IE-1221: Account_Name</t>
  </si>
  <si>
    <t>IE-1222: Account_Name</t>
  </si>
  <si>
    <t>IE-1223: Account_Name</t>
  </si>
  <si>
    <t>IE-1224: Account_Name</t>
  </si>
  <si>
    <t>IE-1225: Account_Name</t>
  </si>
  <si>
    <t>IE-1226: Account_Name</t>
  </si>
  <si>
    <t>IE-1227: Account_Name</t>
  </si>
  <si>
    <t>IE-1228: Account_Name</t>
  </si>
  <si>
    <t>IE-1229: Account_Name</t>
  </si>
  <si>
    <t>IE-1230: Account_Name</t>
  </si>
  <si>
    <t>IE-1231: Account_Name</t>
  </si>
  <si>
    <t>IE-1232: Account_Name</t>
  </si>
  <si>
    <t>IE-1233: Account_Name</t>
  </si>
  <si>
    <t>IE-1234: Account_Name</t>
  </si>
  <si>
    <t>IE-1235: Account_Name</t>
  </si>
  <si>
    <t>IE-1236: Account_Name</t>
  </si>
  <si>
    <t>IE-1237: Account_Name</t>
  </si>
  <si>
    <t>IE-1238: Account_Name</t>
  </si>
  <si>
    <t>IE-1239: Account_Name</t>
  </si>
  <si>
    <t>IE-1240: Account_Name</t>
  </si>
  <si>
    <t>IE-1241: Account_Name</t>
  </si>
  <si>
    <t>IE-1242: Account_Name</t>
  </si>
  <si>
    <t>IE-1243: Account_Name</t>
  </si>
  <si>
    <t>IE-1244: Account_Name</t>
  </si>
  <si>
    <t>IE-1245: Account_Name</t>
  </si>
  <si>
    <t>IE-1246: Account_Name</t>
  </si>
  <si>
    <t>IE-1247: Account_Name</t>
  </si>
  <si>
    <t>IE-1248: Account_Name</t>
  </si>
  <si>
    <t>IE-1249: Account_Name</t>
  </si>
  <si>
    <t>IE-1250: Account_Name</t>
  </si>
  <si>
    <t>IE-1251: Account_Name</t>
  </si>
  <si>
    <t>IE-1252: Account_Name</t>
  </si>
  <si>
    <t>IE-1253: Account_Name</t>
  </si>
  <si>
    <t>IE-1254: Account_Name</t>
  </si>
  <si>
    <t>IE-1255: Account_Name</t>
  </si>
  <si>
    <t>IE-1256: Account_Name</t>
  </si>
  <si>
    <t>IE-1257: Account_Name</t>
  </si>
  <si>
    <t>IE-1258: Account_Name</t>
  </si>
  <si>
    <t>IE-1259: Account_Name</t>
  </si>
  <si>
    <t>IE-1260: Account_Name</t>
  </si>
  <si>
    <t>IE-1261: Account_Name</t>
  </si>
  <si>
    <t>IE-1262: Account_Name</t>
  </si>
  <si>
    <t>IE-1263: Account_Name</t>
  </si>
  <si>
    <t>IE-1264: Account_Name</t>
  </si>
  <si>
    <t>IE-1265: Account_Name</t>
  </si>
  <si>
    <t>IE-1266: Account_Name</t>
  </si>
  <si>
    <t>IE-1267: Account_Name</t>
  </si>
  <si>
    <t>IE-1268: Account_Name</t>
  </si>
  <si>
    <t>IE-1269: Account_Name</t>
  </si>
  <si>
    <t>IE-1270: Account_Name</t>
  </si>
  <si>
    <t>IE-1271: Account_Name</t>
  </si>
  <si>
    <t>IE-1272: Account_Name</t>
  </si>
  <si>
    <t>IE-1273: Account_Name</t>
  </si>
  <si>
    <t>IE-1274: Account_Name</t>
  </si>
  <si>
    <t>IE-1275: Account_Name</t>
  </si>
  <si>
    <t>IE-1276: Account_Name</t>
  </si>
  <si>
    <t>IE-1277: Account_Name</t>
  </si>
  <si>
    <t>IE-1278: Account_Name</t>
  </si>
  <si>
    <t>IE-1279: Account_Name</t>
  </si>
  <si>
    <t>IE-1280: Account_Name</t>
  </si>
  <si>
    <t>IE-1281: Account_Name</t>
  </si>
  <si>
    <t>IE-1282: Account_Name</t>
  </si>
  <si>
    <t>IE-1283: Account_Name</t>
  </si>
  <si>
    <t>IE-1284: Account_Name</t>
  </si>
  <si>
    <t>IE-1285: Account_Name</t>
  </si>
  <si>
    <t>IE-1286: Account_Name</t>
  </si>
  <si>
    <t>IE-1287: Account_Name</t>
  </si>
  <si>
    <t>IE-1288: Account_Name</t>
  </si>
  <si>
    <t>IE-1289: Account_Name</t>
  </si>
  <si>
    <t>IE-1290: Account_Name</t>
  </si>
  <si>
    <t>IE-1291: Account_Name</t>
  </si>
  <si>
    <t>IE-1292: Account_Name</t>
  </si>
  <si>
    <t>IE-1293: Account_Name</t>
  </si>
  <si>
    <t>IE-1294: Account_Name</t>
  </si>
  <si>
    <t>IE-1295: Account_Name</t>
  </si>
  <si>
    <t>IE-1296: Account_Name</t>
  </si>
  <si>
    <t>IE-1297: Account_Name</t>
  </si>
  <si>
    <t>IE-1298: Account_Name</t>
  </si>
  <si>
    <t>IE-1299: Account_Name</t>
  </si>
  <si>
    <t>IE-1300: Account_Name</t>
  </si>
  <si>
    <t>IE-1301: Account_Name</t>
  </si>
  <si>
    <t>IE-1302: Account_Name</t>
  </si>
  <si>
    <t>IE-1303: Account_Name</t>
  </si>
  <si>
    <t>IE-1304: Account_Name</t>
  </si>
  <si>
    <t>IE-1305: Account_Name</t>
  </si>
  <si>
    <t>IE-1306: Account_Name</t>
  </si>
  <si>
    <t>IE-1307: Account_Name</t>
  </si>
  <si>
    <t>IE-1308: Account_Name</t>
  </si>
  <si>
    <t>IE-1309: Account_Name</t>
  </si>
  <si>
    <t>IE-1310: Account_Name</t>
  </si>
  <si>
    <t>IE-1311: Account_Name</t>
  </si>
  <si>
    <t>IE-1312: Account_Name</t>
  </si>
  <si>
    <t>IE-1313: Account_Name</t>
  </si>
  <si>
    <t>IE-1314: Account_Name</t>
  </si>
  <si>
    <t>IE-1315: Account_Name</t>
  </si>
  <si>
    <t>IE-1316: Account_Name</t>
  </si>
  <si>
    <t>IE-1317: Account_Name</t>
  </si>
  <si>
    <t>IE-1318: Account_Name</t>
  </si>
  <si>
    <t>IE-1319: Account_Name</t>
  </si>
  <si>
    <t>IE-1320: Account_Name</t>
  </si>
  <si>
    <t>IE-1321: Account_Name</t>
  </si>
  <si>
    <t>IE-1322: Account_Name</t>
  </si>
  <si>
    <t>IE-1323: Account_Name</t>
  </si>
  <si>
    <t>IE-1324: Account_Name</t>
  </si>
  <si>
    <t>IE-1325: Account_Name</t>
  </si>
  <si>
    <t>IE-1326: Account_Name</t>
  </si>
  <si>
    <t>IE-1327: Account_Name</t>
  </si>
  <si>
    <t>IE-1328: Account_Name</t>
  </si>
  <si>
    <t>IE-1329: Account_Name</t>
  </si>
  <si>
    <t>IE-1330: Account_Name</t>
  </si>
  <si>
    <t>IE-1331: Account_Name</t>
  </si>
  <si>
    <t>IE-1332: Account_Name</t>
  </si>
  <si>
    <t>IE-1333: Account_Name</t>
  </si>
  <si>
    <t>IE-1334: Account_Name</t>
  </si>
  <si>
    <t>IE-1335: Account_Name</t>
  </si>
  <si>
    <t>IE-1336: Account_Name</t>
  </si>
  <si>
    <t>IE-1337: Account_Name</t>
  </si>
  <si>
    <t>IE-1338: Account_Name</t>
  </si>
  <si>
    <t>IE-1339: Account_Name</t>
  </si>
  <si>
    <t>IE-1340: Account_Name</t>
  </si>
  <si>
    <t>IE-1341: Account_Name</t>
  </si>
  <si>
    <t>IE-1342: Account_Name</t>
  </si>
  <si>
    <t>IE-1343: Account_Name</t>
  </si>
  <si>
    <t>IE-1344: Account_Name</t>
  </si>
  <si>
    <t>IE-1345: Account_Name</t>
  </si>
  <si>
    <t>IE-1346: Account_Name</t>
  </si>
  <si>
    <t>IE-1347: Account_Name</t>
  </si>
  <si>
    <t>IE-1348: Account_Name</t>
  </si>
  <si>
    <t>IE-1349: Account_Name</t>
  </si>
  <si>
    <t>IE-1350: Account_Name</t>
  </si>
  <si>
    <t>IE-1351: Account_Name</t>
  </si>
  <si>
    <t>IE-1352: Account_Name</t>
  </si>
  <si>
    <t>IE-1353: Account_Name</t>
  </si>
  <si>
    <t>IE-1354: Account_Name</t>
  </si>
  <si>
    <t>IE-1355: Account_Name</t>
  </si>
  <si>
    <t>IE-1356: Account_Name</t>
  </si>
  <si>
    <t>IE-1357: Account_Name</t>
  </si>
  <si>
    <t>IE-1358: Account_Name</t>
  </si>
  <si>
    <t>IE-1359: Account_Name</t>
  </si>
  <si>
    <t>IE-1360: Account_Name</t>
  </si>
  <si>
    <t>IE-1361: Account_Name</t>
  </si>
  <si>
    <t>IE-1362: Account_Name</t>
  </si>
  <si>
    <t>IE-1363: Account_Name</t>
  </si>
  <si>
    <t>IE-1364: Account_Name</t>
  </si>
  <si>
    <t>IE-1365: Account_Name</t>
  </si>
  <si>
    <t>IE-1366: Account_Name</t>
  </si>
  <si>
    <t>IE-1367: Account_Name</t>
  </si>
  <si>
    <t>IE-1368: Account_Name</t>
  </si>
  <si>
    <t>IE-1369: Account_Name</t>
  </si>
  <si>
    <t>IE-1370: Account_Name</t>
  </si>
  <si>
    <t>IE-1371: Account_Name</t>
  </si>
  <si>
    <t>IE-1372: Account_Name</t>
  </si>
  <si>
    <t>IE-1373: Account_Name</t>
  </si>
  <si>
    <t>IE-1374: Account_Name</t>
  </si>
  <si>
    <t>IE-1375: Account_Name</t>
  </si>
  <si>
    <t>IE-1376: Account_Name</t>
  </si>
  <si>
    <t>IE-1377: Account_Name</t>
  </si>
  <si>
    <t>IE-1378: Account_Name</t>
  </si>
  <si>
    <t>IE-1379: Account_Name</t>
  </si>
  <si>
    <t>IE-1380: Account_Name</t>
  </si>
  <si>
    <t>IE-1381: Account_Name</t>
  </si>
  <si>
    <t>IE-1382: Account_Name</t>
  </si>
  <si>
    <t>IE-1383: Account_Name</t>
  </si>
  <si>
    <t>IE-1384: Account_Name</t>
  </si>
  <si>
    <t>IE-1385: Account_Name</t>
  </si>
  <si>
    <t>IE-1386: Account_Name</t>
  </si>
  <si>
    <t>IE-1387: Account_Name</t>
  </si>
  <si>
    <t>IE-1388: Account_Name</t>
  </si>
  <si>
    <t>IE-1389: Account_Name</t>
  </si>
  <si>
    <t>IE-1390: Account_Name</t>
  </si>
  <si>
    <t>IE-1391: Account_Name</t>
  </si>
  <si>
    <t>IE-1392: Account_Name</t>
  </si>
  <si>
    <t>IE-1393: Account_Name</t>
  </si>
  <si>
    <t>IE-1394: Account_Name</t>
  </si>
  <si>
    <t>IE-1395: Account_Name</t>
  </si>
  <si>
    <t>IE-1396: Account_Name</t>
  </si>
  <si>
    <t>IE-1397: Account_Name</t>
  </si>
  <si>
    <t>IE-1398: Account_Name</t>
  </si>
  <si>
    <t>IE-1399: Account_Name</t>
  </si>
  <si>
    <t>IE-1400: Account_Name</t>
  </si>
  <si>
    <t>IE-1401: Account_Name</t>
  </si>
  <si>
    <t>IE-1402: Account_Name</t>
  </si>
  <si>
    <t>IE-1403: Account_Name</t>
  </si>
  <si>
    <t>IE-1404: Account_Name</t>
  </si>
  <si>
    <t>IE-1405: Account_Name</t>
  </si>
  <si>
    <t>IE-1406: Account_Name</t>
  </si>
  <si>
    <t>IE-1407: Account_Name</t>
  </si>
  <si>
    <t>IE-1408: Account_Name</t>
  </si>
  <si>
    <t>IE-1409: Account_Name</t>
  </si>
  <si>
    <t>IE-1410: Account_Name</t>
  </si>
  <si>
    <t>IE-1411: Account_Name</t>
  </si>
  <si>
    <t>IE-1412: Account_Name</t>
  </si>
  <si>
    <t>IE-1413: Account_Name</t>
  </si>
  <si>
    <t>IE-1414: Account_Name</t>
  </si>
  <si>
    <t>IE-1415: Account_Name</t>
  </si>
  <si>
    <t>IE-1416: Account_Name</t>
  </si>
  <si>
    <t>IE-1417: Account_Name</t>
  </si>
  <si>
    <t>IE-1418: Account_Name</t>
  </si>
  <si>
    <t>IE-1419: Account_Name</t>
  </si>
  <si>
    <t>IE-1420: Account_Name</t>
  </si>
  <si>
    <t>IE-1421: Account_Name</t>
  </si>
  <si>
    <t>IE-1422: Account_Name</t>
  </si>
  <si>
    <t>IE-1423: Account_Name</t>
  </si>
  <si>
    <t>IE-1424: Account_Name</t>
  </si>
  <si>
    <t>IE-1425: Account_Name</t>
  </si>
  <si>
    <t>IE-1426: Account_Name</t>
  </si>
  <si>
    <t>IE-1427: Account_Name</t>
  </si>
  <si>
    <t>IE-1428: Account_Name</t>
  </si>
  <si>
    <t>IE-1429: Account_Name</t>
  </si>
  <si>
    <t>IE-1430: Account_Name</t>
  </si>
  <si>
    <t>IE-1431: Account_Name</t>
  </si>
  <si>
    <t>IE-1432: Account_Name</t>
  </si>
  <si>
    <t>IE-1433: Account_Name</t>
  </si>
  <si>
    <t>IE-1434: Account_Name</t>
  </si>
  <si>
    <t>IE-1435: Account_Name</t>
  </si>
  <si>
    <t>IE-1436: Account_Name</t>
  </si>
  <si>
    <t>IE-1437: Account_Name</t>
  </si>
  <si>
    <t>IE-1438: Account_Name</t>
  </si>
  <si>
    <t>IE-1439: Account_Name</t>
  </si>
  <si>
    <t>IE-1440: Account_Name</t>
  </si>
  <si>
    <t>IE-1441: Account_Name</t>
  </si>
  <si>
    <t>IE-1442: Account_Name</t>
  </si>
  <si>
    <t>IE-1443: Account_Name</t>
  </si>
  <si>
    <t>IE-1444: Account_Name</t>
  </si>
  <si>
    <t>IE-1445: Account_Name</t>
  </si>
  <si>
    <t>IE-1446: Account_Name</t>
  </si>
  <si>
    <t>IE-1447: Account_Name</t>
  </si>
  <si>
    <t>IE-1448: Account_Name</t>
  </si>
  <si>
    <t>IE-1449: Account_Name</t>
  </si>
  <si>
    <t>IE-1450: Account_Name</t>
  </si>
  <si>
    <t>IE-1451: Account_Name</t>
  </si>
  <si>
    <t>IE-1452: Account_Name</t>
  </si>
  <si>
    <t>IE-1453: Account_Name</t>
  </si>
  <si>
    <t>IE-1454: Account_Name</t>
  </si>
  <si>
    <t>IE-1455: Account_Name</t>
  </si>
  <si>
    <t>IE-1456: Account_Name</t>
  </si>
  <si>
    <t>IE-1457: Account_Name</t>
  </si>
  <si>
    <t>IE-1458: Account_Name</t>
  </si>
  <si>
    <t>IE-1459: Account_Name</t>
  </si>
  <si>
    <t>IE-1460: Account_Name</t>
  </si>
  <si>
    <t>IE-1461: Account_Name</t>
  </si>
  <si>
    <t>IE-1462: Account_Name</t>
  </si>
  <si>
    <t>IE-1463: Account_Name</t>
  </si>
  <si>
    <t>IE-1464: Account_Name</t>
  </si>
  <si>
    <t>IE-1465: Account_Name</t>
  </si>
  <si>
    <t>IE-1466: Account_Name</t>
  </si>
  <si>
    <t>IE-1467: Account_Name</t>
  </si>
  <si>
    <t>IE-1468: Account_Name</t>
  </si>
  <si>
    <t>IE-1469: Account_Name</t>
  </si>
  <si>
    <t>IE-1470: Account_Name</t>
  </si>
  <si>
    <t>IE-1471: Account_Name</t>
  </si>
  <si>
    <t>IE-1472: Account_Name</t>
  </si>
  <si>
    <t>IE-1473: Account_Name</t>
  </si>
  <si>
    <t>IE-1474: Account_Name</t>
  </si>
  <si>
    <t>IE-1475: Account_Name</t>
  </si>
  <si>
    <t>IE-1476: Account_Name</t>
  </si>
  <si>
    <t>IE-1477: Account_Name</t>
  </si>
  <si>
    <t>IE-1478: Account_Name</t>
  </si>
  <si>
    <t>IE-1479: Account_Name</t>
  </si>
  <si>
    <t>IE-1480: Account_Name</t>
  </si>
  <si>
    <t>IE-1481: Account_Name</t>
  </si>
  <si>
    <t>IE-1482: Account_Name</t>
  </si>
  <si>
    <t>IE-1483: Account_Name</t>
  </si>
  <si>
    <t>IE-1484: Account_Name</t>
  </si>
  <si>
    <t>IE-1485: Account_Name</t>
  </si>
  <si>
    <t>IE-1486: Account_Name</t>
  </si>
  <si>
    <t>IE-1487: Account_Name</t>
  </si>
  <si>
    <t>IE-1488: Account_Name</t>
  </si>
  <si>
    <t>IE-1489: Account_Name</t>
  </si>
  <si>
    <t>IE-1490: Account_Name</t>
  </si>
  <si>
    <t>IE-1491: Account_Name</t>
  </si>
  <si>
    <t>IE-1492: Account_Name</t>
  </si>
  <si>
    <t>IE-1493: Account_Name</t>
  </si>
  <si>
    <t>IE-1494: Account_Name</t>
  </si>
  <si>
    <t>IE-1495: Account_Name</t>
  </si>
  <si>
    <t>IE-1496: Account_Name</t>
  </si>
  <si>
    <t>IE-1497: Account_Name</t>
  </si>
  <si>
    <t>IE-1498: Account_Name</t>
  </si>
  <si>
    <t>IE-1499: Account_Name</t>
  </si>
  <si>
    <t>IE-1500: Account_Name</t>
  </si>
  <si>
    <t>IE-1501: Account_Name</t>
  </si>
  <si>
    <t>IE-1502: Account_Name</t>
  </si>
  <si>
    <t>IE-1503: Account_Name</t>
  </si>
  <si>
    <t>IE-1504: Account_Name</t>
  </si>
  <si>
    <t>IE-1505: Account_Name</t>
  </si>
  <si>
    <t>IE-1506: Account_Name</t>
  </si>
  <si>
    <t>IE-1507: Account_Name</t>
  </si>
  <si>
    <t>IE-1508: Account_Name</t>
  </si>
  <si>
    <t>IE-1509: Account_Name</t>
  </si>
  <si>
    <t>IE-1510: Account_Name</t>
  </si>
  <si>
    <t>IE-1511: Account_Name</t>
  </si>
  <si>
    <t>IE-1512: Account_Name</t>
  </si>
  <si>
    <t>IE-1513: Account_Name</t>
  </si>
  <si>
    <t>IE-1514: Account_Name</t>
  </si>
  <si>
    <t>IE-1515: Account_Name</t>
  </si>
  <si>
    <t>IE-1516: Account_Name</t>
  </si>
  <si>
    <t>IE-1517: Account_Name</t>
  </si>
  <si>
    <t>IE-1518: Account_Name</t>
  </si>
  <si>
    <t>IE-1519: Account_Name</t>
  </si>
  <si>
    <t>IE-1520: Account_Name</t>
  </si>
  <si>
    <t>IE-1521: Account_Name</t>
  </si>
  <si>
    <t>IE-1522: Account_Name</t>
  </si>
  <si>
    <t>IE-1523: Account_Name</t>
  </si>
  <si>
    <t>IE-1524: Account_Name</t>
  </si>
  <si>
    <t>IE-1525: Account_Name</t>
  </si>
  <si>
    <t>IE-1526: Account_Name</t>
  </si>
  <si>
    <t>IE-1527: Account_Name</t>
  </si>
  <si>
    <t>IE-1528: Account_Name</t>
  </si>
  <si>
    <t>IE-1529: Account_Name</t>
  </si>
  <si>
    <t>IE-1530: Account_Name</t>
  </si>
  <si>
    <t>IE-1531: Account_Name</t>
  </si>
  <si>
    <t>IE-1532: Account_Name</t>
  </si>
  <si>
    <t>IE-1533: Account_Name</t>
  </si>
  <si>
    <t>IE-1534: Account_Name</t>
  </si>
  <si>
    <t>IE-1535: Account_Name</t>
  </si>
  <si>
    <t>IE-1536: Account_Name</t>
  </si>
  <si>
    <t>IE-1537: Account_Name</t>
  </si>
  <si>
    <t>IE-1538: Account_Name</t>
  </si>
  <si>
    <t>IE-1539: Account_Name</t>
  </si>
  <si>
    <t>IE-1540: Account_Name</t>
  </si>
  <si>
    <t>IE-1541: Account_Name</t>
  </si>
  <si>
    <t>IE-1542: Account_Name</t>
  </si>
  <si>
    <t>IE-1543: Account_Name</t>
  </si>
  <si>
    <t>IE-1544: Account_Name</t>
  </si>
  <si>
    <t>IE-1545: Account_Name</t>
  </si>
  <si>
    <t>IE-1546: Account_Name</t>
  </si>
  <si>
    <t>IE-1547: Account_Name</t>
  </si>
  <si>
    <t>IE-1548: Account_Name</t>
  </si>
  <si>
    <t>IE-1549: Account_Name</t>
  </si>
  <si>
    <t>IE-1550: Account_Name</t>
  </si>
  <si>
    <t>IE-1551: Account_Name</t>
  </si>
  <si>
    <t>IE-1552: Account_Name</t>
  </si>
  <si>
    <t>IE-1553: Account_Name</t>
  </si>
  <si>
    <t>IE-1554: Account_Name</t>
  </si>
  <si>
    <t>IE-1555: Account_Name</t>
  </si>
  <si>
    <t>IE-1556: Account_Name</t>
  </si>
  <si>
    <t>IE-1557: Account_Name</t>
  </si>
  <si>
    <t>IE-1558: Account_Name</t>
  </si>
  <si>
    <t>IE-1559: Account_Name</t>
  </si>
  <si>
    <t>IE-1560: Account_Name</t>
  </si>
  <si>
    <t>IE-1561: Account_Name</t>
  </si>
  <si>
    <t>IE-1562: Account_Name</t>
  </si>
  <si>
    <t>IE-1563: Account_Name</t>
  </si>
  <si>
    <t>IE-1564: Account_Name</t>
  </si>
  <si>
    <t>IE-1565: Account_Name</t>
  </si>
  <si>
    <t>IE-1566: Account_Name</t>
  </si>
  <si>
    <t>IE-1567: Account_Name</t>
  </si>
  <si>
    <t>IE-1568: Account_Name</t>
  </si>
  <si>
    <t>IE-1569: Account_Name</t>
  </si>
  <si>
    <t>IE-1570: Account_Name</t>
  </si>
  <si>
    <t>IE-1571: Account_Name</t>
  </si>
  <si>
    <t>IE-1572: Account_Name</t>
  </si>
  <si>
    <t>IE-1573: Account_Name</t>
  </si>
  <si>
    <t>IE-1574: Account_Name</t>
  </si>
  <si>
    <t>IE-1575: Account_Name</t>
  </si>
  <si>
    <t>IE-1576: Account_Name</t>
  </si>
  <si>
    <t>IE-1577: Account_Name</t>
  </si>
  <si>
    <t>IE-1578: Account_Name</t>
  </si>
  <si>
    <t>IE-1579: Account_Name</t>
  </si>
  <si>
    <t>IE-1580: Account_Name</t>
  </si>
  <si>
    <t>IE-1581: Account_Name</t>
  </si>
  <si>
    <t>IE-1582: Account_Name</t>
  </si>
  <si>
    <t>IE-1583: Account_Name</t>
  </si>
  <si>
    <t>IE-1584: Account_Name</t>
  </si>
  <si>
    <t>IE-1585: Account_Name</t>
  </si>
  <si>
    <t>IE-1586: Account_Name</t>
  </si>
  <si>
    <t>IE-1587: Account_Name</t>
  </si>
  <si>
    <t>IE-1588: Account_Name</t>
  </si>
  <si>
    <t>IE-1589: Account_Name</t>
  </si>
  <si>
    <t>IE-1590: Account_Name</t>
  </si>
  <si>
    <t>IE-1591: Account_Name</t>
  </si>
  <si>
    <t>IE-1592: Account_Name</t>
  </si>
  <si>
    <t>IE-1593: Account_Name</t>
  </si>
  <si>
    <t>IE-1594: Account_Name</t>
  </si>
  <si>
    <t>IE-1595: Account_Name</t>
  </si>
  <si>
    <t>IE-1596: Account_Name</t>
  </si>
  <si>
    <t>IE-1597: Account_Name</t>
  </si>
  <si>
    <t>IE-1598: Account_Name</t>
  </si>
  <si>
    <t>IE-1599: Account_Name</t>
  </si>
  <si>
    <t>IE-1600: Account_Name</t>
  </si>
  <si>
    <t>IE-1601: Account_Name</t>
  </si>
  <si>
    <t>IE-1602: Account_Name</t>
  </si>
  <si>
    <t>IE-1603: Account_Name</t>
  </si>
  <si>
    <t>IE-1604: Account_Name</t>
  </si>
  <si>
    <t>IE-1605: Account_Name</t>
  </si>
  <si>
    <t>IE-1606: Account_Name</t>
  </si>
  <si>
    <t>IE-1607: Account_Name</t>
  </si>
  <si>
    <t>IE-1608: Account_Name</t>
  </si>
  <si>
    <t>IE-1609: Account_Name</t>
  </si>
  <si>
    <t>IE-1610: Account_Name</t>
  </si>
  <si>
    <t>IE-1611: Account_Name</t>
  </si>
  <si>
    <t>IE-1612: Account_Name</t>
  </si>
  <si>
    <t>IE-1613: Account_Name</t>
  </si>
  <si>
    <t>IE-1614: Account_Name</t>
  </si>
  <si>
    <t>IE-1615: Account_Name</t>
  </si>
  <si>
    <t>IE-1616: Account_Name</t>
  </si>
  <si>
    <t>IE-1617: Account_Name</t>
  </si>
  <si>
    <t>IE-1618: Account_Name</t>
  </si>
  <si>
    <t>IE-1619: Account_Name</t>
  </si>
  <si>
    <t>IE-1620: Account_Name</t>
  </si>
  <si>
    <t>IE-1621: Account_Name</t>
  </si>
  <si>
    <t>IE-1622: Account_Name</t>
  </si>
  <si>
    <t>IE-1623: Account_Name</t>
  </si>
  <si>
    <t>IE-1624: Account_Name</t>
  </si>
  <si>
    <t>IE-1625: Account_Name</t>
  </si>
  <si>
    <t>IE-1626: Account_Name</t>
  </si>
  <si>
    <t>IE-1627: Account_Name</t>
  </si>
  <si>
    <t>IE-1628: Account_Name</t>
  </si>
  <si>
    <t>IE-1629: Account_Name</t>
  </si>
  <si>
    <t>IE-1630: Account_Name</t>
  </si>
  <si>
    <t>IE-1631: Account_Name</t>
  </si>
  <si>
    <t>IE-1632: Account_Name</t>
  </si>
  <si>
    <t>IE-1633: Account_Name</t>
  </si>
  <si>
    <t>IE-1634: Account_Name</t>
  </si>
  <si>
    <t>IE-1635: Account_Name</t>
  </si>
  <si>
    <t>IE-1636: Account_Name</t>
  </si>
  <si>
    <t>IE-1637: Account_Name</t>
  </si>
  <si>
    <t>IE-1638: Account_Name</t>
  </si>
  <si>
    <t>IE-1639: Account_Name</t>
  </si>
  <si>
    <t>IE-1640: Account_Name</t>
  </si>
  <si>
    <t>IE-1641: Account_Name</t>
  </si>
  <si>
    <t>IE-1642: Account_Name</t>
  </si>
  <si>
    <t>IE-1643: Account_Name</t>
  </si>
  <si>
    <t>IE-1644: Account_Name</t>
  </si>
  <si>
    <t>IE-1645: Account_Name</t>
  </si>
  <si>
    <t>IE-1646: Account_Name</t>
  </si>
  <si>
    <t>IE-1647: Account_Name</t>
  </si>
  <si>
    <t>IE-1648: Account_Name</t>
  </si>
  <si>
    <t>IE-1649: Account_Name</t>
  </si>
  <si>
    <t>IE-1650: Account_Name</t>
  </si>
  <si>
    <t>IE-1651: Account_Name</t>
  </si>
  <si>
    <t>IE-1652: Account_Name</t>
  </si>
  <si>
    <t>IE-1653: Account_Name</t>
  </si>
  <si>
    <t>IE-1654: Account_Name</t>
  </si>
  <si>
    <t>IE-1655: Account_Name</t>
  </si>
  <si>
    <t>IE-1656: Account_Name</t>
  </si>
  <si>
    <t>IE-1657: Account_Name</t>
  </si>
  <si>
    <t>IE-1658: Account_Name</t>
  </si>
  <si>
    <t>IE-1659: Account_Name</t>
  </si>
  <si>
    <t>IE-1660: Account_Name</t>
  </si>
  <si>
    <t>IE-1661: Account_Name</t>
  </si>
  <si>
    <t>IE-1662: Account_Name</t>
  </si>
  <si>
    <t>IE-1663: Account_Name</t>
  </si>
  <si>
    <t>IE-1664: Account_Name</t>
  </si>
  <si>
    <t>IE-1665: Account_Name</t>
  </si>
  <si>
    <t>IE-1666: Account_Name</t>
  </si>
  <si>
    <t>IE-1667: Account_Name</t>
  </si>
  <si>
    <t>IE-1668: Account_Name</t>
  </si>
  <si>
    <t>IE-1669: Account_Name</t>
  </si>
  <si>
    <t>IE-1670: Account_Name</t>
  </si>
  <si>
    <t>IE-1671: Account_Name</t>
  </si>
  <si>
    <t>IE-1672: Account_Name</t>
  </si>
  <si>
    <t>IE-1673: Account_Name</t>
  </si>
  <si>
    <t>IE-1674: Account_Name</t>
  </si>
  <si>
    <t>IE-1675: Account_Name</t>
  </si>
  <si>
    <t>IE-1676: Account_Name</t>
  </si>
  <si>
    <t>IE-1677: Account_Name</t>
  </si>
  <si>
    <t>IE-1678: Account_Name</t>
  </si>
  <si>
    <t>IE-1679: Account_Name</t>
  </si>
  <si>
    <t>IE-1680: Account_Name</t>
  </si>
  <si>
    <t>IE-1681: Account_Name</t>
  </si>
  <si>
    <t>IE-1682: Account_Name</t>
  </si>
  <si>
    <t>IE-1683: Account_Name</t>
  </si>
  <si>
    <t>IE-1684: Account_Name</t>
  </si>
  <si>
    <t>IE-1685: Account_Name</t>
  </si>
  <si>
    <t>IE-1686: Account_Name</t>
  </si>
  <si>
    <t>IE-1687: Account_Name</t>
  </si>
  <si>
    <t>IE-1688: Account_Name</t>
  </si>
  <si>
    <t>IE-1689: Account_Name</t>
  </si>
  <si>
    <t>IE-1690: Account_Name</t>
  </si>
  <si>
    <t>IE-1691: Account_Name</t>
  </si>
  <si>
    <t>IE-1692: Account_Name</t>
  </si>
  <si>
    <t>IE-1693: Account_Name</t>
  </si>
  <si>
    <t>IE-1694: Account_Name</t>
  </si>
  <si>
    <t>IE-1695: Account_Name</t>
  </si>
  <si>
    <t>IE-1696: Account_Name</t>
  </si>
  <si>
    <t>IE-1697: Account_Name</t>
  </si>
  <si>
    <t>IE-1698: Account_Name</t>
  </si>
  <si>
    <t>IE-1699: Account_Name</t>
  </si>
  <si>
    <t>IE-1700: Account_Name</t>
  </si>
  <si>
    <t>IE-1701: Account_Name</t>
  </si>
  <si>
    <t>IE-1702: Account_Name</t>
  </si>
  <si>
    <t>IE-1703: Account_Name</t>
  </si>
  <si>
    <t>IE-1704: Account_Name</t>
  </si>
  <si>
    <t>IE-1705: Account_Name</t>
  </si>
  <si>
    <t>IE-1706: Account_Name</t>
  </si>
  <si>
    <t>IE-1707: Account_Name</t>
  </si>
  <si>
    <t>IE-1708: Account_Name</t>
  </si>
  <si>
    <t>IE-1709: Account_Name</t>
  </si>
  <si>
    <t>IE-1710: Account_Name</t>
  </si>
  <si>
    <t>IE-1711: Account_Name</t>
  </si>
  <si>
    <t>IE-1712: Account_Name</t>
  </si>
  <si>
    <t>IE-1713: Account_Name</t>
  </si>
  <si>
    <t>IE-1714: Account_Name</t>
  </si>
  <si>
    <t>IE-1715: Account_Name</t>
  </si>
  <si>
    <t>IE-1716: Account_Name</t>
  </si>
  <si>
    <t>IE-1717: Account_Name</t>
  </si>
  <si>
    <t>IE-1718: Account_Name</t>
  </si>
  <si>
    <t>IE-1719: Account_Name</t>
  </si>
  <si>
    <t>IE-1720: Account_Name</t>
  </si>
  <si>
    <t>IE-1721: Account_Name</t>
  </si>
  <si>
    <t>IE-1722: Account_Name</t>
  </si>
  <si>
    <t>IE-1723: Account_Name</t>
  </si>
  <si>
    <t>IE-1724: Account_Name</t>
  </si>
  <si>
    <t>IE-1725: Account_Name</t>
  </si>
  <si>
    <t>IE-1726: Account_Name</t>
  </si>
  <si>
    <t>IE-1727: Account_Name</t>
  </si>
  <si>
    <t>IE-1728: Account_Name</t>
  </si>
  <si>
    <t>IE-1729: Account_Name</t>
  </si>
  <si>
    <t>IE-1730: Account_Name</t>
  </si>
  <si>
    <t>IE-1731: Account_Name</t>
  </si>
  <si>
    <t>IE-1732: Account_Name</t>
  </si>
  <si>
    <t>IE-1733: Account_Name</t>
  </si>
  <si>
    <t>IE-1734: Account_Name</t>
  </si>
  <si>
    <t>IE-1735: Account_Name</t>
  </si>
  <si>
    <t>IE-1736: Account_Name</t>
  </si>
  <si>
    <t>IE-1737: Account_Name</t>
  </si>
  <si>
    <t>IE-1738: Account_Name</t>
  </si>
  <si>
    <t>IE-1739: Account_Name</t>
  </si>
  <si>
    <t>IE-1740: Account_Name</t>
  </si>
  <si>
    <t>IE-1741: Account_Name</t>
  </si>
  <si>
    <t>IE-1742: Account_Name</t>
  </si>
  <si>
    <t>IE-1743: Account_Name</t>
  </si>
  <si>
    <t>IE-1744: Account_Name</t>
  </si>
  <si>
    <t>IE-1745: Account_Name</t>
  </si>
  <si>
    <t>IE-1746: Account_Name</t>
  </si>
  <si>
    <t>IE-1747: Account_Name</t>
  </si>
  <si>
    <t>IE-1748: Account_Name</t>
  </si>
  <si>
    <t>IE-1749: Account_Name</t>
  </si>
  <si>
    <t>IE-1750: Account_Name</t>
  </si>
  <si>
    <t>IE-1751: Account_Name</t>
  </si>
  <si>
    <t>IE-1752: Account_Name</t>
  </si>
  <si>
    <t>IE-1753: Account_Name</t>
  </si>
  <si>
    <t>IE-1754: Account_Name</t>
  </si>
  <si>
    <t>IE-1755: Account_Name</t>
  </si>
  <si>
    <t>IE-1756: Account_Name</t>
  </si>
  <si>
    <t>IE-1757: Account_Name</t>
  </si>
  <si>
    <t>IE-1758: Account_Name</t>
  </si>
  <si>
    <t>IE-1759: Account_Name</t>
  </si>
  <si>
    <t>IE-1760: Account_Name</t>
  </si>
  <si>
    <t>IE-1761: Account_Name</t>
  </si>
  <si>
    <t>IE-1762: Account_Name</t>
  </si>
  <si>
    <t>IE-1763: Account_Name</t>
  </si>
  <si>
    <t>IE-1764: Account_Name</t>
  </si>
  <si>
    <t>IE-1765: Account_Name</t>
  </si>
  <si>
    <t>IE-1766: Account_Name</t>
  </si>
  <si>
    <t>IE-1767: Account_Name</t>
  </si>
  <si>
    <t>IE-1768: Account_Name</t>
  </si>
  <si>
    <t>IE-1769: Account_Name</t>
  </si>
  <si>
    <t>IE-1770: Account_Name</t>
  </si>
  <si>
    <t>IE-1771: Account_Name</t>
  </si>
  <si>
    <t>IE-1772: Account_Name</t>
  </si>
  <si>
    <t>IE-1773: Account_Name</t>
  </si>
  <si>
    <t>IE-1774: Account_Name</t>
  </si>
  <si>
    <t>IE-1775: Account_Name</t>
  </si>
  <si>
    <t>IE-1776: Account_Name</t>
  </si>
  <si>
    <t>IE-1777: Account_Name</t>
  </si>
  <si>
    <t>IE-1778: Account_Name</t>
  </si>
  <si>
    <t>IE-1779: Account_Name</t>
  </si>
  <si>
    <t>IE-1780: Account_Name</t>
  </si>
  <si>
    <t>IE-1781: Account_Name</t>
  </si>
  <si>
    <t>IE-1782: Account_Name</t>
  </si>
  <si>
    <t>IE-1783: Account_Name</t>
  </si>
  <si>
    <t>IE-1784: Account_Name</t>
  </si>
  <si>
    <t>IE-1785: Account_Name</t>
  </si>
  <si>
    <t>IE-1786: Account_Name</t>
  </si>
  <si>
    <t>IE-1787: Account_Name</t>
  </si>
  <si>
    <t>IE-1788: Account_Name</t>
  </si>
  <si>
    <t>IE-1789: Account_Name</t>
  </si>
  <si>
    <t>IE-1790: Account_Name</t>
  </si>
  <si>
    <t>IE-1791: Account_Name</t>
  </si>
  <si>
    <t>IE-1792: Account_Name</t>
  </si>
  <si>
    <t>IE-1793: Account_Name</t>
  </si>
  <si>
    <t>IE-1794: Account_Name</t>
  </si>
  <si>
    <t>IE-1795: Account_Name</t>
  </si>
  <si>
    <t>IE-1796: Account_Name</t>
  </si>
  <si>
    <t>IE-1797: Account_Name</t>
  </si>
  <si>
    <t>IE-1798: Account_Name</t>
  </si>
  <si>
    <t>IE-1799: Account_Name</t>
  </si>
  <si>
    <t>IE-1800: Account_Name</t>
  </si>
  <si>
    <t>IE-1801: Account_Name</t>
  </si>
  <si>
    <t>IE-1802: Account_Name</t>
  </si>
  <si>
    <t>IE-1803: Account_Name</t>
  </si>
  <si>
    <t>IE-1804: Account_Name</t>
  </si>
  <si>
    <t>IE-1805: Account_Name</t>
  </si>
  <si>
    <t>IE-1806: Account_Name</t>
  </si>
  <si>
    <t>IE-1807: Account_Name</t>
  </si>
  <si>
    <t>IE-1808: Account_Name</t>
  </si>
  <si>
    <t>IE-1809: Account_Name</t>
  </si>
  <si>
    <t>IE-1810: Account_Name</t>
  </si>
  <si>
    <t>IE-1811: Account_Name</t>
  </si>
  <si>
    <t>IE-1812: Account_Name</t>
  </si>
  <si>
    <t>IE-1813: Account_Name</t>
  </si>
  <si>
    <t>IE-1814: Account_Name</t>
  </si>
  <si>
    <t>IE-1815: Account_Name</t>
  </si>
  <si>
    <t>IE-1816: Account_Name</t>
  </si>
  <si>
    <t>IE-1817: Account_Name</t>
  </si>
  <si>
    <t>IE-1818: Account_Name</t>
  </si>
  <si>
    <t>IE-1819: Account_Name</t>
  </si>
  <si>
    <t>IE-1820: Account_Name</t>
  </si>
  <si>
    <t>IE-1821: Account_Name</t>
  </si>
  <si>
    <t>IE-1822: Account_Name</t>
  </si>
  <si>
    <t>IE-1823: Account_Name</t>
  </si>
  <si>
    <t>IE-1824: Account_Name</t>
  </si>
  <si>
    <t>IE-1825: Account_Name</t>
  </si>
  <si>
    <t>IE-1826: Account_Name</t>
  </si>
  <si>
    <t>IE-1827: Account_Name</t>
  </si>
  <si>
    <t>IE-1828: Account_Name</t>
  </si>
  <si>
    <t>IE-1829: Account_Name</t>
  </si>
  <si>
    <t>IE-1830: Account_Name</t>
  </si>
  <si>
    <t>IE-1831: Account_Name</t>
  </si>
  <si>
    <t>IE-1832: Account_Name</t>
  </si>
  <si>
    <t>IE-1833: Account_Name</t>
  </si>
  <si>
    <t>IE-1834: Account_Name</t>
  </si>
  <si>
    <t>IE-1835: Account_Name</t>
  </si>
  <si>
    <t>IE-1836: Account_Name</t>
  </si>
  <si>
    <t>IE-1837: Account_Name</t>
  </si>
  <si>
    <t>IE-1838: Account_Name</t>
  </si>
  <si>
    <t>IE-1839: Account_Name</t>
  </si>
  <si>
    <t>IE-1840: Account_Name</t>
  </si>
  <si>
    <t>IE-1841: Account_Name</t>
  </si>
  <si>
    <t>IE-1842: Account_Name</t>
  </si>
  <si>
    <t>IE-1843: Account_Name</t>
  </si>
  <si>
    <t>IE-1844: Account_Name</t>
  </si>
  <si>
    <t>IE-1845: Account_Name</t>
  </si>
  <si>
    <t>IE-1846: Account_Name</t>
  </si>
  <si>
    <t>IE-1847: Account_Name</t>
  </si>
  <si>
    <t>IE-1848: Account_Name</t>
  </si>
  <si>
    <t>IE-1849: Account_Name</t>
  </si>
  <si>
    <t>IE-1850: Account_Name</t>
  </si>
  <si>
    <t>IE-1851: Account_Name</t>
  </si>
  <si>
    <t>IE-1852: Account_Name</t>
  </si>
  <si>
    <t>IE-1853: Account_Name</t>
  </si>
  <si>
    <t>IE-1854: Account_Name</t>
  </si>
  <si>
    <t>IE-1855: Account_Name</t>
  </si>
  <si>
    <t>IE-1856: Account_Name</t>
  </si>
  <si>
    <t>IE-1857: Account_Name</t>
  </si>
  <si>
    <t>IE-1858: Account_Name</t>
  </si>
  <si>
    <t>IE-1859: Account_Name</t>
  </si>
  <si>
    <t>IE-1860: Account_Name</t>
  </si>
  <si>
    <t>IE-1861: Account_Name</t>
  </si>
  <si>
    <t>IE-1862: Account_Name</t>
  </si>
  <si>
    <t>IE-1863: Account_Name</t>
  </si>
  <si>
    <t>IE-1864: Account_Name</t>
  </si>
  <si>
    <t>IE-1865: Account_Name</t>
  </si>
  <si>
    <t>IE-1866: Account_Name</t>
  </si>
  <si>
    <t>IE-1867: Account_Name</t>
  </si>
  <si>
    <t>IE-1868: Account_Name</t>
  </si>
  <si>
    <t>IE-1869: Account_Name</t>
  </si>
  <si>
    <t>IE-1870: Account_Name</t>
  </si>
  <si>
    <t>IE-1871: Account_Name</t>
  </si>
  <si>
    <t>IE-1872: Account_Name</t>
  </si>
  <si>
    <t>IE-1873: Account_Name</t>
  </si>
  <si>
    <t>IE-1874: Account_Name</t>
  </si>
  <si>
    <t>IE-1875: Account_Name</t>
  </si>
  <si>
    <t>IE-1876: Account_Name</t>
  </si>
  <si>
    <t>IE-1877: Account_Name</t>
  </si>
  <si>
    <t>IE-1878: Account_Name</t>
  </si>
  <si>
    <t>IE-1879: Account_Name</t>
  </si>
  <si>
    <t>IE-1880: Account_Name</t>
  </si>
  <si>
    <t>IE-1881: Account_Name</t>
  </si>
  <si>
    <t>IE-1882: Account_Name</t>
  </si>
  <si>
    <t>IE-1883: Account_Name</t>
  </si>
  <si>
    <t>IE-1884: Account_Name</t>
  </si>
  <si>
    <t>IE-1885: Account_Name</t>
  </si>
  <si>
    <t>IE-1886: Account_Name</t>
  </si>
  <si>
    <t>IE-1887: Account_Name</t>
  </si>
  <si>
    <t>IE-1888: Account_Name</t>
  </si>
  <si>
    <t>IE-1889: Account_Name</t>
  </si>
  <si>
    <t>IE-1890: Account_Name</t>
  </si>
  <si>
    <t>IE-1891: Account_Name</t>
  </si>
  <si>
    <t>IE-1892: Account_Name</t>
  </si>
  <si>
    <t>IE-1893: Account_Name</t>
  </si>
  <si>
    <t>IE-1894: Account_Name</t>
  </si>
  <si>
    <t>IE-1895: Account_Name</t>
  </si>
  <si>
    <t>IE-1896: Account_Name</t>
  </si>
  <si>
    <t>IE-1897: Account_Name</t>
  </si>
  <si>
    <t>IE-1898: Account_Name</t>
  </si>
  <si>
    <t>IE-1899: Account_Name</t>
  </si>
  <si>
    <t>IE-1900: Account_Name</t>
  </si>
  <si>
    <t>IE-1901: Account_Name</t>
  </si>
  <si>
    <t>IE-1902: Account_Name</t>
  </si>
  <si>
    <t>IE-1903: Account_Name</t>
  </si>
  <si>
    <t>IE-1904: Account_Name</t>
  </si>
  <si>
    <t>IE-1905: Account_Name</t>
  </si>
  <si>
    <t>IE-1906: Account_Name</t>
  </si>
  <si>
    <t>IE-1907: Account_Name</t>
  </si>
  <si>
    <t>IE-1908: Account_Name</t>
  </si>
  <si>
    <t>IE-1909: Account_Name</t>
  </si>
  <si>
    <t>IE-1910: Account_Name</t>
  </si>
  <si>
    <t>IE-1911: Account_Name</t>
  </si>
  <si>
    <t>IE-1912: Account_Name</t>
  </si>
  <si>
    <t>IE-1913: Account_Name</t>
  </si>
  <si>
    <t>IE-1914: Account_Name</t>
  </si>
  <si>
    <t>IE-1915: Account_Name</t>
  </si>
  <si>
    <t>IE-1916: Account_Name</t>
  </si>
  <si>
    <t>IE-1917: Account_Name</t>
  </si>
  <si>
    <t>IE-1918: Account_Name</t>
  </si>
  <si>
    <t>IE-1919: Account_Name</t>
  </si>
  <si>
    <t>IE-1920: Account_Name</t>
  </si>
  <si>
    <t>IE-1921: Account_Name</t>
  </si>
  <si>
    <t>IE-1922: Account_Name</t>
  </si>
  <si>
    <t>IE-1923: Account_Name</t>
  </si>
  <si>
    <t>IE-1924: Account_Name</t>
  </si>
  <si>
    <t>IE-1925: Account_Name</t>
  </si>
  <si>
    <t>IE-1926: Account_Name</t>
  </si>
  <si>
    <t>IE-1927: Account_Name</t>
  </si>
  <si>
    <t>IE-1928: Account_Name</t>
  </si>
  <si>
    <t>IE-1929: Account_Name</t>
  </si>
  <si>
    <t>IE-1930: Account_Name</t>
  </si>
  <si>
    <t>IE-1931: Account_Name</t>
  </si>
  <si>
    <t>IE-1932: Account_Name</t>
  </si>
  <si>
    <t>IE-1933: Account_Name</t>
  </si>
  <si>
    <t>IE-1934: Account_Name</t>
  </si>
  <si>
    <t>IE-1935: Account_Name</t>
  </si>
  <si>
    <t>IE-1936: Account_Name</t>
  </si>
  <si>
    <t>IE-1937: Account_Name</t>
  </si>
  <si>
    <t>IE-1938: Account_Name</t>
  </si>
  <si>
    <t>IE-1939: Account_Name</t>
  </si>
  <si>
    <t>IE-1940: Account_Name</t>
  </si>
  <si>
    <t>IE-1941: Account_Name</t>
  </si>
  <si>
    <t>IE-1942: Account_Name</t>
  </si>
  <si>
    <t>IE-1943: Account_Name</t>
  </si>
  <si>
    <t>IE-1944: Account_Name</t>
  </si>
  <si>
    <t>IE-1945: Account_Name</t>
  </si>
  <si>
    <t>IE-1946: Account_Name</t>
  </si>
  <si>
    <t>IE-1947: Account_Name</t>
  </si>
  <si>
    <t>IE-1948: Account_Name</t>
  </si>
  <si>
    <t>IE-1949: Account_Name</t>
  </si>
  <si>
    <t>IE-1950: Account_Name</t>
  </si>
  <si>
    <t>IE-1951: Account_Name</t>
  </si>
  <si>
    <t>IE-1952: Account_Name</t>
  </si>
  <si>
    <t>IE-1953: Account_Name</t>
  </si>
  <si>
    <t>IE-1954: Account_Name</t>
  </si>
  <si>
    <t>IE-1955: Account_Name</t>
  </si>
  <si>
    <t>IE-1956: Account_Name</t>
  </si>
  <si>
    <t>IE-1957: Account_Name</t>
  </si>
  <si>
    <t>IE-1958: Account_Name</t>
  </si>
  <si>
    <t>IE-1959: Account_Name</t>
  </si>
  <si>
    <t>IE-1960: Account_Name</t>
  </si>
  <si>
    <t>IE-1961: Account_Name</t>
  </si>
  <si>
    <t>IE-1962: Account_Name</t>
  </si>
  <si>
    <t>IE-1963: Account_Name</t>
  </si>
  <si>
    <t>IE-1964: Account_Name</t>
  </si>
  <si>
    <t>IE-1965: Account_Name</t>
  </si>
  <si>
    <t>IE-1966: Account_Name</t>
  </si>
  <si>
    <t>IE-1967: Account_Name</t>
  </si>
  <si>
    <t>IE-1968: Account_Name</t>
  </si>
  <si>
    <t>IE-1969: Account_Name</t>
  </si>
  <si>
    <t>IE-1970: Account_Name</t>
  </si>
  <si>
    <t>IE-1971: Account_Name</t>
  </si>
  <si>
    <t>IE-1972: Account_Name</t>
  </si>
  <si>
    <t>IE-1973: Account_Name</t>
  </si>
  <si>
    <t>IE-1974: Account_Name</t>
  </si>
  <si>
    <t>IE-1975: Account_Name</t>
  </si>
  <si>
    <t>IE-1976: Account_Name</t>
  </si>
  <si>
    <t>IE-1977: Account_Name</t>
  </si>
  <si>
    <t>IE-1978: Account_Name</t>
  </si>
  <si>
    <t>IE-1979: Account_Name</t>
  </si>
  <si>
    <t>IE-1980: Account_Name</t>
  </si>
  <si>
    <t>IE-1981: Account_Name</t>
  </si>
  <si>
    <t>IE-1982: Account_Name</t>
  </si>
  <si>
    <t>IE-1983: Account_Name</t>
  </si>
  <si>
    <t>IE-1984: Account_Name</t>
  </si>
  <si>
    <t>IE-1985: Account_Name</t>
  </si>
  <si>
    <t>IE-1986: Account_Name</t>
  </si>
  <si>
    <t>IE-1987: Account_Name</t>
  </si>
  <si>
    <t>IE-1988: Account_Name</t>
  </si>
  <si>
    <t>IE-1989: Account_Name</t>
  </si>
  <si>
    <t>IE-1990: Account_Name</t>
  </si>
  <si>
    <t>IE-1991: Account_Name</t>
  </si>
  <si>
    <t>IE-1992: Account_Name</t>
  </si>
  <si>
    <t>IE-1993: Account_Name</t>
  </si>
  <si>
    <t>IE-1994: Account_Name</t>
  </si>
  <si>
    <t>IE-1995: Account_Name</t>
  </si>
  <si>
    <t>IE-1996: Account_Name</t>
  </si>
  <si>
    <t>IE-1997: Account_Name</t>
  </si>
  <si>
    <t>IE-1998: Account_Name</t>
  </si>
  <si>
    <t>IE-1999: Account_Name</t>
  </si>
  <si>
    <t>IE-2000: Account_Name</t>
  </si>
  <si>
    <t>IE-2001: Account_Name</t>
  </si>
  <si>
    <t>IE-2002: Account_Name</t>
  </si>
  <si>
    <t>IE-2003: Account_Name</t>
  </si>
  <si>
    <t>IE-2004: Account_Name</t>
  </si>
  <si>
    <t>IE-2005: Account_Name</t>
  </si>
  <si>
    <t>IE-2006: Account_Name</t>
  </si>
  <si>
    <t>IE-2007: Account_Name</t>
  </si>
  <si>
    <t>IE-2008: Account_Name</t>
  </si>
  <si>
    <t>IE-2009: Account_Name</t>
  </si>
  <si>
    <t>IE-2010: Account_Name</t>
  </si>
  <si>
    <t>IE-2011: Account_Name</t>
  </si>
  <si>
    <t>IE-2012: Account_Name</t>
  </si>
  <si>
    <t>IE-2013: Account_Name</t>
  </si>
  <si>
    <t>IE-2014: Account_Name</t>
  </si>
  <si>
    <t>IE-2015: Account_Name</t>
  </si>
  <si>
    <t>IE-2016: Account_Name</t>
  </si>
  <si>
    <t>IE-2017: Account_Name</t>
  </si>
  <si>
    <t>IE-2018: Account_Name</t>
  </si>
  <si>
    <t>IE-2019: Account_Name</t>
  </si>
  <si>
    <t>IE-2020: Account_Name</t>
  </si>
  <si>
    <t>IE-2021: Account_Name</t>
  </si>
  <si>
    <t>IE-2022: Account_Name</t>
  </si>
  <si>
    <t>IE-2023: Account_Name</t>
  </si>
  <si>
    <t>IE-2024: Account_Name</t>
  </si>
  <si>
    <t>IE-2025: Account_Name</t>
  </si>
  <si>
    <t>IE-2026: Account_Name</t>
  </si>
  <si>
    <t>IE-2027: Account_Name</t>
  </si>
  <si>
    <t>IE-2028: Account_Name</t>
  </si>
  <si>
    <t>IE-2029: Account_Name</t>
  </si>
  <si>
    <t>IE-2030: Account_Name</t>
  </si>
  <si>
    <t>IE-2031: Account_Name</t>
  </si>
  <si>
    <t>IE-2032: Account_Name</t>
  </si>
  <si>
    <t>IE-2033: Account_Name</t>
  </si>
  <si>
    <t>IE-2034: Account_Name</t>
  </si>
  <si>
    <t>IE-2035: Account_Name</t>
  </si>
  <si>
    <t>IE-2036: Account_Name</t>
  </si>
  <si>
    <t>IE-2037: Account_Name</t>
  </si>
  <si>
    <t>IE-2038: Account_Name</t>
  </si>
  <si>
    <t>IE-2039: Account_Name</t>
  </si>
  <si>
    <t>IE-2040: Account_Name</t>
  </si>
  <si>
    <t>IE-2041: Account_Name</t>
  </si>
  <si>
    <t>IE-2042: Account_Name</t>
  </si>
  <si>
    <t>IE-2043: Account_Name</t>
  </si>
  <si>
    <t>IE-2044: Account_Name</t>
  </si>
  <si>
    <t>IE-2045: Account_Name</t>
  </si>
  <si>
    <t>IE-2046: Account_Name</t>
  </si>
  <si>
    <t>IE-2047: Account_Name</t>
  </si>
  <si>
    <t>IE-2048: Account_Name</t>
  </si>
  <si>
    <t>IE-2049: Account_Name</t>
  </si>
  <si>
    <t>IE-2050: Account_Name</t>
  </si>
  <si>
    <t>IE-2051: Account_Name</t>
  </si>
  <si>
    <t>IE-2052: Account_Name</t>
  </si>
  <si>
    <t>IE-2053: Account_Name</t>
  </si>
  <si>
    <t>IE-2054: Account_Name</t>
  </si>
  <si>
    <t>IE-2055: Account_Name</t>
  </si>
  <si>
    <t>IE-2056: Account_Name</t>
  </si>
  <si>
    <t>IE-2057: Account_Name</t>
  </si>
  <si>
    <t>IE-2058: Account_Name</t>
  </si>
  <si>
    <t>IE-2059: Account_Name</t>
  </si>
  <si>
    <t>IE-2060: Account_Name</t>
  </si>
  <si>
    <t>IE-2061: Account_Name</t>
  </si>
  <si>
    <t>IE-2062: Account_Name</t>
  </si>
  <si>
    <t>IE-2063: Account_Name</t>
  </si>
  <si>
    <t>IE-2064: Account_Name</t>
  </si>
  <si>
    <t>IE-2065: Account_Name</t>
  </si>
  <si>
    <t>IE-2066: Account_Name</t>
  </si>
  <si>
    <t>IE-2067: Account_Name</t>
  </si>
  <si>
    <t>IE-2068: Account_Name</t>
  </si>
  <si>
    <t>IE-2069: Account_Name</t>
  </si>
  <si>
    <t>IE-2070: Account_Name</t>
  </si>
  <si>
    <t>IE-2071: Account_Name</t>
  </si>
  <si>
    <t>IE-2072: Account_Name</t>
  </si>
  <si>
    <t>IE-2073: Account_Name</t>
  </si>
  <si>
    <t>IE-2074: Account_Name</t>
  </si>
  <si>
    <t>IE-2075: Account_Name</t>
  </si>
  <si>
    <t>IE-2076: Account_Name</t>
  </si>
  <si>
    <t>IE-2077: Account_Name</t>
  </si>
  <si>
    <t>IE-2078: Account_Name</t>
  </si>
  <si>
    <t>IE-2079: Account_Name</t>
  </si>
  <si>
    <t>IE-2080: Account_Name</t>
  </si>
  <si>
    <t>IE-2081: Account_Name</t>
  </si>
  <si>
    <t>IE-2082: Account_Name</t>
  </si>
  <si>
    <t>IE-2083: Account_Name</t>
  </si>
  <si>
    <t>IE-2084: Account_Name</t>
  </si>
  <si>
    <t>IE-2085: Account_Name</t>
  </si>
  <si>
    <t>IE-2086: Account_Name</t>
  </si>
  <si>
    <t>IE-2087: Account_Name</t>
  </si>
  <si>
    <t>IE-2088: Account_Name</t>
  </si>
  <si>
    <t>IE-2089: Account_Name</t>
  </si>
  <si>
    <t>IE-2090: Account_Name</t>
  </si>
  <si>
    <t>IE-2091: Account_Name</t>
  </si>
  <si>
    <t>IE-2092: Account_Name</t>
  </si>
  <si>
    <t>IE-2093: Account_Name</t>
  </si>
  <si>
    <t>IE-2094: Account_Name</t>
  </si>
  <si>
    <t>IE-2095: Account_Name</t>
  </si>
  <si>
    <t>IE-2096: Account_Name</t>
  </si>
  <si>
    <t>IE-2097: Account_Name</t>
  </si>
  <si>
    <t>IE-2098: Account_Name</t>
  </si>
  <si>
    <t>IE-2099: Account_Name</t>
  </si>
  <si>
    <t>IE-2100: Account_Name</t>
  </si>
  <si>
    <t>IE-2101: Account_Name</t>
  </si>
  <si>
    <t>IE-2102: Account_Name</t>
  </si>
  <si>
    <t>IE-2103: Account_Name</t>
  </si>
  <si>
    <t>IE-2104: Account_Name</t>
  </si>
  <si>
    <t>IE-2105: Account_Name</t>
  </si>
  <si>
    <t>IE-2106: Account_Name</t>
  </si>
  <si>
    <t>IE-2107: Account_Name</t>
  </si>
  <si>
    <t>IE-2108: Account_Name</t>
  </si>
  <si>
    <t>IE-2109: Account_Name</t>
  </si>
  <si>
    <t>IE-2110: Account_Name</t>
  </si>
  <si>
    <t>IE-2111: Account_Name</t>
  </si>
  <si>
    <t>IE-2112: Account_Name</t>
  </si>
  <si>
    <t>IE-2113: Account_Name</t>
  </si>
  <si>
    <t>IE-2114: Account_Name</t>
  </si>
  <si>
    <t>IE-2115: Account_Name</t>
  </si>
  <si>
    <t>IE-2116: Account_Name</t>
  </si>
  <si>
    <t>IE-2117: Account_Name</t>
  </si>
  <si>
    <t>IE-2118: Account_Name</t>
  </si>
  <si>
    <t>IE-2119: Account_Name</t>
  </si>
  <si>
    <t>IE-2120: Account_Name</t>
  </si>
  <si>
    <t>IE-2121: Account_Name</t>
  </si>
  <si>
    <t>IE-2122: Account_Name</t>
  </si>
  <si>
    <t>IE-2123: Account_Name</t>
  </si>
  <si>
    <t>IE-2124: Account_Name</t>
  </si>
  <si>
    <t>IE-2125: Account_Name</t>
  </si>
  <si>
    <t>IE-2126: Account_Name</t>
  </si>
  <si>
    <t>IE-2127: Account_Name</t>
  </si>
  <si>
    <t>IE-2128: Account_Name</t>
  </si>
  <si>
    <t>IE-2129: Account_Name</t>
  </si>
  <si>
    <t>IE-2130: Account_Name</t>
  </si>
  <si>
    <t>IE-2131: Account_Name</t>
  </si>
  <si>
    <t>IE-2132: Account_Name</t>
  </si>
  <si>
    <t>IE-2133: Account_Name</t>
  </si>
  <si>
    <t>IE-2134: Account_Name</t>
  </si>
  <si>
    <t>IE-2135: Account_Name</t>
  </si>
  <si>
    <t>IE-2136: Account_Name</t>
  </si>
  <si>
    <t>IE-2137: Account_Name</t>
  </si>
  <si>
    <t>IE-2138: Account_Name</t>
  </si>
  <si>
    <t>IE-2139: Account_Name</t>
  </si>
  <si>
    <t>IE-2140: Account_Name</t>
  </si>
  <si>
    <t>IE-2141: Account_Name</t>
  </si>
  <si>
    <t>IE-2142: Account_Name</t>
  </si>
  <si>
    <t>IE-2143: Account_Name</t>
  </si>
  <si>
    <t>IE-2144: Account_Name</t>
  </si>
  <si>
    <t>IE-2145: Account_Name</t>
  </si>
  <si>
    <t>IE-2146: Account_Name</t>
  </si>
  <si>
    <t>IE-2147: Account_Name</t>
  </si>
  <si>
    <t>IE-2148: Account_Name</t>
  </si>
  <si>
    <t>IE-2149: Account_Name</t>
  </si>
  <si>
    <t>IE-2150: Account_Name</t>
  </si>
  <si>
    <t>IE-2151: Account_Name</t>
  </si>
  <si>
    <t>IE-2152: Account_Name</t>
  </si>
  <si>
    <t>IE-2153: Account_Name</t>
  </si>
  <si>
    <t>IE-2154: Account_Name</t>
  </si>
  <si>
    <t>IE-2155: Account_Name</t>
  </si>
  <si>
    <t>IE-2156: Account_Name</t>
  </si>
  <si>
    <t>IE-2157: Account_Name</t>
  </si>
  <si>
    <t>IE-2158: Account_Name</t>
  </si>
  <si>
    <t>IE-2159: Account_Name</t>
  </si>
  <si>
    <t>IE-2160: Account_Name</t>
  </si>
  <si>
    <t>IE-2161: Account_Name</t>
  </si>
  <si>
    <t>IE-2162: Account_Name</t>
  </si>
  <si>
    <t>IE-2163: Account_Name</t>
  </si>
  <si>
    <t>IE-2164: Account_Name</t>
  </si>
  <si>
    <t>IE-2165: Account_Name</t>
  </si>
  <si>
    <t>IE-2166: Account_Name</t>
  </si>
  <si>
    <t>IE-2167: Account_Name</t>
  </si>
  <si>
    <t>IE-2168: Account_Name</t>
  </si>
  <si>
    <t>IE-2169: Account_Name</t>
  </si>
  <si>
    <t>IE-2170: Account_Name</t>
  </si>
  <si>
    <t>IE-2171: Account_Name</t>
  </si>
  <si>
    <t>IE-2172: Account_Name</t>
  </si>
  <si>
    <t>IE-2173: Account_Name</t>
  </si>
  <si>
    <t>IE-2174: Account_Name</t>
  </si>
  <si>
    <t>IE-2175: Account_Name</t>
  </si>
  <si>
    <t>IE-2176: Account_Name</t>
  </si>
  <si>
    <t>IE-2177: Account_Name</t>
  </si>
  <si>
    <t>IE-2178: Account_Name</t>
  </si>
  <si>
    <t>IE-2179: Account_Name</t>
  </si>
  <si>
    <t>IE-2180: Account_Name</t>
  </si>
  <si>
    <t>IE-2181: Account_Name</t>
  </si>
  <si>
    <t>IE-2182: Account_Name</t>
  </si>
  <si>
    <t>IE-2183: Account_Name</t>
  </si>
  <si>
    <t>IE-2184: Account_Name</t>
  </si>
  <si>
    <t>IE-2185: Account_Name</t>
  </si>
  <si>
    <t>IE-2186: Account_Name</t>
  </si>
  <si>
    <t>IE-2187: Account_Name</t>
  </si>
  <si>
    <t>IE-2188: Account_Name</t>
  </si>
  <si>
    <t>IE-2189: Account_Name</t>
  </si>
  <si>
    <t>IE-2190: Account_Name</t>
  </si>
  <si>
    <t>IE-2191: Account_Name</t>
  </si>
  <si>
    <t>IE-2192: Account_Name</t>
  </si>
  <si>
    <t>IE-2193: Account_Name</t>
  </si>
  <si>
    <t>IE-2194: Account_Name</t>
  </si>
  <si>
    <t>IE-2195: Account_Name</t>
  </si>
  <si>
    <t>IE-2196: Account_Name</t>
  </si>
  <si>
    <t>IE-2197: Account_Name</t>
  </si>
  <si>
    <t>IE-2198: Account_Name</t>
  </si>
  <si>
    <t>IE-2199: Account_Name</t>
  </si>
  <si>
    <t>IE-2200: Account_Name</t>
  </si>
  <si>
    <t>IE-2201: Account_Name</t>
  </si>
  <si>
    <t>IE-2202: Account_Name</t>
  </si>
  <si>
    <t>IE-2203: Account_Name</t>
  </si>
  <si>
    <t>IE-2204: Account_Name</t>
  </si>
  <si>
    <t>IE-2205: Account_Name</t>
  </si>
  <si>
    <t>IE-2206: Account_Name</t>
  </si>
  <si>
    <t>IE-2207: Account_Name</t>
  </si>
  <si>
    <t>IE-2208: Account_Name</t>
  </si>
  <si>
    <t>IE-2209: Account_Name</t>
  </si>
  <si>
    <t>IE-2210: Account_Name</t>
  </si>
  <si>
    <t>IE-2211: Account_Name</t>
  </si>
  <si>
    <t>IE-2212: Account_Name</t>
  </si>
  <si>
    <t>IE-2213: Account_Name</t>
  </si>
  <si>
    <t>IE-2214: Account_Name</t>
  </si>
  <si>
    <t>IE-2215: Account_Name</t>
  </si>
  <si>
    <t>IE-2216: Account_Name</t>
  </si>
  <si>
    <t>IE-2217: Account_Name</t>
  </si>
  <si>
    <t>IE-2218: Account_Name</t>
  </si>
  <si>
    <t>IE-2219: Account_Name</t>
  </si>
  <si>
    <t>IE-2220: Account_Name</t>
  </si>
  <si>
    <t>IE-2221: Account_Name</t>
  </si>
  <si>
    <t>IE-2222: Account_Name</t>
  </si>
  <si>
    <t>IE-2223: Account_Name</t>
  </si>
  <si>
    <t>IE-2224: Account_Name</t>
  </si>
  <si>
    <t>IE-2225: Account_Name</t>
  </si>
  <si>
    <t>IE-2226: Account_Name</t>
  </si>
  <si>
    <t>IE-2227: Account_Name</t>
  </si>
  <si>
    <t>IE-2228: Account_Name</t>
  </si>
  <si>
    <t>IE-2229: Account_Name</t>
  </si>
  <si>
    <t>IE-2230: Account_Name</t>
  </si>
  <si>
    <t>IE-2231: Account_Name</t>
  </si>
  <si>
    <t>IE-2232: Account_Name</t>
  </si>
  <si>
    <t>IE-2233: Account_Name</t>
  </si>
  <si>
    <t>IE-2234: Account_Name</t>
  </si>
  <si>
    <t>IE-2235: Account_Name</t>
  </si>
  <si>
    <t>IE-2236: Account_Name</t>
  </si>
  <si>
    <t>IE-2237: Account_Name</t>
  </si>
  <si>
    <t>IE-2238: Account_Name</t>
  </si>
  <si>
    <t>IE-2239: Account_Name</t>
  </si>
  <si>
    <t>IE-2240: Account_Name</t>
  </si>
  <si>
    <t>IE-2241: Account_Name</t>
  </si>
  <si>
    <t>IE-2242: Account_Name</t>
  </si>
  <si>
    <t>IE-2243: Account_Name</t>
  </si>
  <si>
    <t>IE-2244: Account_Name</t>
  </si>
  <si>
    <t>IE-2245: Account_Name</t>
  </si>
  <si>
    <t>IE-2246: Account_Name</t>
  </si>
  <si>
    <t>IE-2247: Account_Name</t>
  </si>
  <si>
    <t>IE-2248: Account_Name</t>
  </si>
  <si>
    <t>IE-2249: Account_Name</t>
  </si>
  <si>
    <t>IE-2250: Account_Name</t>
  </si>
  <si>
    <t>IE-2251: Account_Name</t>
  </si>
  <si>
    <t>IE-2252: Account_Name</t>
  </si>
  <si>
    <t>IE-2253: Account_Name</t>
  </si>
  <si>
    <t>IE-2254: Account_Name</t>
  </si>
  <si>
    <t>IE-2255: Account_Name</t>
  </si>
  <si>
    <t>IE-2256: Account_Name</t>
  </si>
  <si>
    <t>IE-2257: Account_Name</t>
  </si>
  <si>
    <t>IE-2258: Account_Name</t>
  </si>
  <si>
    <t>IE-2259: Account_Name</t>
  </si>
  <si>
    <t>IE-2260: Account_Name</t>
  </si>
  <si>
    <t>IE-2261: Account_Name</t>
  </si>
  <si>
    <t>IE-2262: Account_Name</t>
  </si>
  <si>
    <t>IE-2263: Account_Name</t>
  </si>
  <si>
    <t>IE-2264: Account_Name</t>
  </si>
  <si>
    <t>IE-2265: Account_Name</t>
  </si>
  <si>
    <t>IE-2266: Account_Name</t>
  </si>
  <si>
    <t>IE-2267: Account_Name</t>
  </si>
  <si>
    <t>IE-2268: Account_Name</t>
  </si>
  <si>
    <t>IE-2269: Account_Name</t>
  </si>
  <si>
    <t>IE-2270: Account_Name</t>
  </si>
  <si>
    <t>IE-2271: Account_Name</t>
  </si>
  <si>
    <t>IE-2272: Account_Name</t>
  </si>
  <si>
    <t>IE-2273: Account_Name</t>
  </si>
  <si>
    <t>IE-2274: Account_Name</t>
  </si>
  <si>
    <t>IE-2275: Account_Name</t>
  </si>
  <si>
    <t>IE-2276: Account_Name</t>
  </si>
  <si>
    <t>IE-2277: Account_Name</t>
  </si>
  <si>
    <t>IE-2278: Account_Name</t>
  </si>
  <si>
    <t>IE-2279: Account_Name</t>
  </si>
  <si>
    <t>IE-2280: Account_Name</t>
  </si>
  <si>
    <t>IE-2281: Account_Name</t>
  </si>
  <si>
    <t>IE-2282: Account_Name</t>
  </si>
  <si>
    <t>IE-2283: Account_Name</t>
  </si>
  <si>
    <t>IE-2284: Account_Name</t>
  </si>
  <si>
    <t>IE-2285: Account_Name</t>
  </si>
  <si>
    <t>IE-2286: Account_Name</t>
  </si>
  <si>
    <t>IE-2287: Account_Name</t>
  </si>
  <si>
    <t>IE-2288: Account_Name</t>
  </si>
  <si>
    <t>IE-2289: Account_Name</t>
  </si>
  <si>
    <t>IE-2290: Account_Name</t>
  </si>
  <si>
    <t>IE-2291: Account_Name</t>
  </si>
  <si>
    <t>IE-2292: Account_Name</t>
  </si>
  <si>
    <t>IE-2293: Account_Name</t>
  </si>
  <si>
    <t>IE-2294: Account_Name</t>
  </si>
  <si>
    <t>IE-2295: Account_Name</t>
  </si>
  <si>
    <t>IE-2296: Account_Name</t>
  </si>
  <si>
    <t>IE-2297: Account_Name</t>
  </si>
  <si>
    <t>IE-2298: Account_Name</t>
  </si>
  <si>
    <t>IE-2299: Account_Name</t>
  </si>
  <si>
    <t>IE-2300: Account_Name</t>
  </si>
  <si>
    <t>IE-2301: Account_Name</t>
  </si>
  <si>
    <t>IE-2302: Account_Name</t>
  </si>
  <si>
    <t>IE-2303: Account_Name</t>
  </si>
  <si>
    <t>IE-2304: Account_Name</t>
  </si>
  <si>
    <t>IE-2305: Account_Name</t>
  </si>
  <si>
    <t>IE-2306: Account_Name</t>
  </si>
  <si>
    <t>IE-2307: Account_Name</t>
  </si>
  <si>
    <t>IE-2308: Account_Name</t>
  </si>
  <si>
    <t>IE-2309: Account_Name</t>
  </si>
  <si>
    <t>IE-2310: Account_Name</t>
  </si>
  <si>
    <t>IE-2311: Account_Name</t>
  </si>
  <si>
    <t>IE-2312: Account_Name</t>
  </si>
  <si>
    <t>IE-2313: Account_Name</t>
  </si>
  <si>
    <t>IE-2314: Account_Name</t>
  </si>
  <si>
    <t>IE-2315: Account_Name</t>
  </si>
  <si>
    <t>IE-2316: Account_Name</t>
  </si>
  <si>
    <t>IE-2317: Account_Name</t>
  </si>
  <si>
    <t>IE-2318: Account_Name</t>
  </si>
  <si>
    <t>IE-2319: Account_Name</t>
  </si>
  <si>
    <t>IE-2320: Account_Name</t>
  </si>
  <si>
    <t>IE-2321: Account_Name</t>
  </si>
  <si>
    <t>IE-2322: Account_Name</t>
  </si>
  <si>
    <t>IE-2323: Account_Name</t>
  </si>
  <si>
    <t>IE-2324: Account_Name</t>
  </si>
  <si>
    <t>IE-2325: Account_Name</t>
  </si>
  <si>
    <t>IE-2326: Account_Name</t>
  </si>
  <si>
    <t>IE-2327: Account_Name</t>
  </si>
  <si>
    <t>IE-2328: Account_Name</t>
  </si>
  <si>
    <t>IE-2329: Account_Name</t>
  </si>
  <si>
    <t>IE-2330: Account_Name</t>
  </si>
  <si>
    <t>IE-2331: Account_Name</t>
  </si>
  <si>
    <t>IE-2332: Account_Name</t>
  </si>
  <si>
    <t>IE-2333: Account_Name</t>
  </si>
  <si>
    <t>IE-2334: Account_Name</t>
  </si>
  <si>
    <t>IE-2335: Account_Name</t>
  </si>
  <si>
    <t>IE-2336: Account_Name</t>
  </si>
  <si>
    <t>IE-2337: Account_Name</t>
  </si>
  <si>
    <t>IE-2338: Account_Name</t>
  </si>
  <si>
    <t>IE-2339: Account_Name</t>
  </si>
  <si>
    <t>IE-2340: Account_Name</t>
  </si>
  <si>
    <t>IE-2341: Account_Name</t>
  </si>
  <si>
    <t>IE-2342: Account_Name</t>
  </si>
  <si>
    <t>IE-2343: Account_Name</t>
  </si>
  <si>
    <t>IE-2344: Account_Name</t>
  </si>
  <si>
    <t>IE-2345: Account_Name</t>
  </si>
  <si>
    <t>IE-2346: Account_Name</t>
  </si>
  <si>
    <t>IE-2347: Account_Name</t>
  </si>
  <si>
    <t>IE-2348: Account_Name</t>
  </si>
  <si>
    <t>IE-2349: Account_Name</t>
  </si>
  <si>
    <t>IE-2350: Account_Name</t>
  </si>
  <si>
    <t>IE-2351: Account_Name</t>
  </si>
  <si>
    <t>IE-2352: Account_Name</t>
  </si>
  <si>
    <t>IE-2353: Account_Name</t>
  </si>
  <si>
    <t>IE-2354: Account_Name</t>
  </si>
  <si>
    <t>IE-2355: Account_Name</t>
  </si>
  <si>
    <t>IE-2356: Account_Name</t>
  </si>
  <si>
    <t>IE-2357: Account_Name</t>
  </si>
  <si>
    <t>IE-2358: Account_Name</t>
  </si>
  <si>
    <t>IE-2359: Account_Name</t>
  </si>
  <si>
    <t>IE-2360: Account_Name</t>
  </si>
  <si>
    <t>IE-2361: Account_Name</t>
  </si>
  <si>
    <t>IE-2362: Account_Name</t>
  </si>
  <si>
    <t>IE-2363: Account_Name</t>
  </si>
  <si>
    <t>IE-2364: Account_Name</t>
  </si>
  <si>
    <t>IE-2365: Account_Name</t>
  </si>
  <si>
    <t>IE-2366: Account_Name</t>
  </si>
  <si>
    <t>IE-2367: Account_Name</t>
  </si>
  <si>
    <t>IE-2368: Account_Name</t>
  </si>
  <si>
    <t>IE-2369: Account_Name</t>
  </si>
  <si>
    <t>IE-2370: Account_Name</t>
  </si>
  <si>
    <t>IE-2371: Account_Name</t>
  </si>
  <si>
    <t>IE-2372: Account_Name</t>
  </si>
  <si>
    <t>IE-2373: Account_Name</t>
  </si>
  <si>
    <t>IE-2374: Account_Name</t>
  </si>
  <si>
    <t>IE-2375: Account_Name</t>
  </si>
  <si>
    <t>IE-2376: Account_Name</t>
  </si>
  <si>
    <t>IE-2377: Account_Name</t>
  </si>
  <si>
    <t>IE-2378: Account_Name</t>
  </si>
  <si>
    <t>IE-2379: Account_Name</t>
  </si>
  <si>
    <t>IE-2380: Account_Name</t>
  </si>
  <si>
    <t>IE-2381: Account_Name</t>
  </si>
  <si>
    <t>IE-2382: Account_Name</t>
  </si>
  <si>
    <t>IE-2383: Account_Name</t>
  </si>
  <si>
    <t>IE-2384: Account_Name</t>
  </si>
  <si>
    <t>IE-2385: Account_Name</t>
  </si>
  <si>
    <t>IE-2386: Account_Name</t>
  </si>
  <si>
    <t>IE-2387: Account_Name</t>
  </si>
  <si>
    <t>IE-2388: Account_Name</t>
  </si>
  <si>
    <t>IE-2389: Account_Name</t>
  </si>
  <si>
    <t>IE-2390: Account_Name</t>
  </si>
  <si>
    <t>IE-2391: Account_Name</t>
  </si>
  <si>
    <t>IE-2392: Account_Name</t>
  </si>
  <si>
    <t>IE-2393: Account_Name</t>
  </si>
  <si>
    <t>IE-2394: Account_Name</t>
  </si>
  <si>
    <t>IE-2395: Account_Name</t>
  </si>
  <si>
    <t>IE-2396: Account_Name</t>
  </si>
  <si>
    <t>IE-2397: Account_Name</t>
  </si>
  <si>
    <t>IE-2398: Account_Name</t>
  </si>
  <si>
    <t>IE-2399: Account_Name</t>
  </si>
  <si>
    <t>IE-2400: Account_Name</t>
  </si>
  <si>
    <t>IE-2401: Account_Name</t>
  </si>
  <si>
    <t>IE-2402: Account_Name</t>
  </si>
  <si>
    <t>IE-2403: Account_Name</t>
  </si>
  <si>
    <t>IE-2404: Account_Name</t>
  </si>
  <si>
    <t>IE-2405: Account_Name</t>
  </si>
  <si>
    <t>IE-2406: Account_Name</t>
  </si>
  <si>
    <t>IE-2407: Account_Name</t>
  </si>
  <si>
    <t>IE-2408: Account_Name</t>
  </si>
  <si>
    <t>IE-2409: Account_Name</t>
  </si>
  <si>
    <t>IE-2410: Account_Name</t>
  </si>
  <si>
    <t>IE-2411: Account_Name</t>
  </si>
  <si>
    <t>IE-2412: Account_Name</t>
  </si>
  <si>
    <t>IE-2413: Account_Name</t>
  </si>
  <si>
    <t>IE-2414: Account_Name</t>
  </si>
  <si>
    <t>IE-2415: Account_Name</t>
  </si>
  <si>
    <t>IE-2416: Account_Name</t>
  </si>
  <si>
    <t>IE-2417: Account_Name</t>
  </si>
  <si>
    <t>IE-2418: Account_Name</t>
  </si>
  <si>
    <t>IE-2419: Account_Name</t>
  </si>
  <si>
    <t>IE-2420: Account_Name</t>
  </si>
  <si>
    <t>IE-2421: Account_Name</t>
  </si>
  <si>
    <t>IE-2422: Account_Name</t>
  </si>
  <si>
    <t>IE-2423: Account_Name</t>
  </si>
  <si>
    <t>IE-2424: Account_Name</t>
  </si>
  <si>
    <t>IE-2425: Account_Name</t>
  </si>
  <si>
    <t>IE-2426: Account_Name</t>
  </si>
  <si>
    <t>IE-2427: Account_Name</t>
  </si>
  <si>
    <t>IE-2428: Account_Name</t>
  </si>
  <si>
    <t>IE-2429: Account_Name</t>
  </si>
  <si>
    <t>IE-2430: Account_Name</t>
  </si>
  <si>
    <t>IE-2431: Account_Name</t>
  </si>
  <si>
    <t>IE-2432: Account_Name</t>
  </si>
  <si>
    <t>IE-2433: Account_Name</t>
  </si>
  <si>
    <t>IE-2434: Account_Name</t>
  </si>
  <si>
    <t>IE-2435: Account_Name</t>
  </si>
  <si>
    <t>IE-2436: Account_Name</t>
  </si>
  <si>
    <t>IE-2437: Account_Name</t>
  </si>
  <si>
    <t>IE-2438: Account_Name</t>
  </si>
  <si>
    <t>IE-2439: Account_Name</t>
  </si>
  <si>
    <t>IE-2440: Account_Name</t>
  </si>
  <si>
    <t>IE-2441: Account_Name</t>
  </si>
  <si>
    <t>IE-2442: Account_Name</t>
  </si>
  <si>
    <t>IE-2443: Account_Name</t>
  </si>
  <si>
    <t>IE-2444: Account_Name</t>
  </si>
  <si>
    <t>IE-2445: Account_Name</t>
  </si>
  <si>
    <t>IE-2446: Account_Name</t>
  </si>
  <si>
    <t>IE-2447: Account_Name</t>
  </si>
  <si>
    <t>IE-2448: Account_Name</t>
  </si>
  <si>
    <t>IE-2449: Account_Name</t>
  </si>
  <si>
    <t>IE-2450: Account_Name</t>
  </si>
  <si>
    <t>IE-2451: Account_Name</t>
  </si>
  <si>
    <t>IE-2452: Account_Name</t>
  </si>
  <si>
    <t>IE-2453: Account_Name</t>
  </si>
  <si>
    <t>IE-2454: Account_Name</t>
  </si>
  <si>
    <t>IE-2455: Account_Name</t>
  </si>
  <si>
    <t>IE-2456: Account_Name</t>
  </si>
  <si>
    <t>IE-2457: Account_Name</t>
  </si>
  <si>
    <t>IE-2458: Account_Name</t>
  </si>
  <si>
    <t>IE-2459: Account_Name</t>
  </si>
  <si>
    <t>IE-2460: Account_Name</t>
  </si>
  <si>
    <t>IE-2461: Account_Name</t>
  </si>
  <si>
    <t>IE-2462: Account_Name</t>
  </si>
  <si>
    <t>IE-2463: Account_Name</t>
  </si>
  <si>
    <t>IE-2464: Account_Name</t>
  </si>
  <si>
    <t>IE-2465: Account_Name</t>
  </si>
  <si>
    <t>IE-2466: Account_Name</t>
  </si>
  <si>
    <t>IE-2467: Account_Name</t>
  </si>
  <si>
    <t>IE-2468: Account_Name</t>
  </si>
  <si>
    <t>IE-2469: Account_Name</t>
  </si>
  <si>
    <t>IE-2470: Account_Name</t>
  </si>
  <si>
    <t>IE-2471: Account_Name</t>
  </si>
  <si>
    <t>IE-2472: Account_Name</t>
  </si>
  <si>
    <t>IE-2473: Account_Name</t>
  </si>
  <si>
    <t>IE-2474: Account_Name</t>
  </si>
  <si>
    <t>IE-2475: Account_Name</t>
  </si>
  <si>
    <t>IE-2476: Account_Name</t>
  </si>
  <si>
    <t>IE-2477: Account_Name</t>
  </si>
  <si>
    <t>IE-2478: Account_Name</t>
  </si>
  <si>
    <t>IE-2479: Account_Name</t>
  </si>
  <si>
    <t>IE-2480: Account_Name</t>
  </si>
  <si>
    <t>IE-2481: Account_Name</t>
  </si>
  <si>
    <t>IE-2482: Account_Name</t>
  </si>
  <si>
    <t>IE-2483: Account_Name</t>
  </si>
  <si>
    <t>IE-2484: Account_Name</t>
  </si>
  <si>
    <t>IE-2485: Account_Name</t>
  </si>
  <si>
    <t>IE-2486: Account_Name</t>
  </si>
  <si>
    <t>IE-2487: Account_Name</t>
  </si>
  <si>
    <t>IE-2488: Account_Name</t>
  </si>
  <si>
    <t>IE-2489: Account_Name</t>
  </si>
  <si>
    <t>IE-2490: Account_Name</t>
  </si>
  <si>
    <t>Option and Descreption</t>
  </si>
  <si>
    <t>Custodian A/C</t>
  </si>
  <si>
    <t>3 ELECT CASH AND STOCK</t>
  </si>
  <si>
    <t>GLOBAL-1</t>
  </si>
  <si>
    <t>GLOBAL-2</t>
  </si>
  <si>
    <t>GLOBAL-3</t>
  </si>
  <si>
    <t>GLOBAL-4</t>
  </si>
  <si>
    <t>GLOBAL-5</t>
  </si>
  <si>
    <t>GLOBAL-6</t>
  </si>
  <si>
    <t>GLOBAL-7</t>
  </si>
  <si>
    <t>GLOBAL-8</t>
  </si>
  <si>
    <t>GLOBAL-9</t>
  </si>
  <si>
    <t>GLOBAL-10</t>
  </si>
  <si>
    <t>GLOBAL-11</t>
  </si>
  <si>
    <t>GLOBAL-12</t>
  </si>
  <si>
    <t>GLOBAL-13</t>
  </si>
  <si>
    <t>GLOBAL-14</t>
  </si>
  <si>
    <t>GLOBAL-15</t>
  </si>
  <si>
    <t>GLOBAL-16</t>
  </si>
  <si>
    <t>GLOBAL-17</t>
  </si>
  <si>
    <t>GLOBAL-18</t>
  </si>
  <si>
    <t>GLOBAL-19</t>
  </si>
  <si>
    <t>GLOBAL-20</t>
  </si>
  <si>
    <t>GLOBAL-21</t>
  </si>
  <si>
    <t>GLOBAL-22</t>
  </si>
  <si>
    <t>GLOBAL-23</t>
  </si>
  <si>
    <t>GLOBAL-24</t>
  </si>
  <si>
    <t>GLOBAL-25</t>
  </si>
  <si>
    <t>GLOBAL-26</t>
  </si>
  <si>
    <t>GLOBAL-27</t>
  </si>
  <si>
    <t>GLOBAL-28</t>
  </si>
  <si>
    <t>GLOBAL-29</t>
  </si>
  <si>
    <t>COOKIES234</t>
  </si>
  <si>
    <t>CAKES229</t>
  </si>
  <si>
    <t>FOOTBALL</t>
  </si>
  <si>
    <t>BASKETBALL</t>
  </si>
  <si>
    <t>CUSIP/ISIN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</si>
</sst>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2">
    <xf numFmtId="0" fontId="0" fillId="0" borderId="0"/>
    <xf numFmtId="0" fontId="2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0" fillId="0" borderId="1" xfId="0" applyBorder="1" applyAlignment="1">
      <alignment vertical="top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top"/>
    </xf>
    <xf numFmtId="0" fontId="4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14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8" fillId="0" borderId="1" xfId="0" applyFont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4" fillId="0" borderId="2" xfId="0" applyFont="1" applyBorder="1" applyAlignment="1">
      <alignment vertical="top"/>
    </xf>
    <xf numFmtId="0" fontId="0" fillId="0" borderId="1" xfId="0" applyBorder="1" applyAlignment="1">
      <alignment horizontal="left" vertical="top"/>
    </xf>
    <xf numFmtId="22" fontId="8" fillId="0" borderId="0" xfId="0" applyNumberFormat="1" applyFont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</cellXfs>
  <cellStyles count="72">
    <cellStyle name="Normal" xfId="0" builtinId="0"/>
    <cellStyle name="Normal 2" xfId="2" xr:uid="{00000000-0005-0000-0000-000001000000}"/>
    <cellStyle name="Normal 2 2" xfId="64" xr:uid="{00000000-0005-0000-0000-000002000000}"/>
    <cellStyle name="Normal 2 3" xfId="56" xr:uid="{00000000-0005-0000-0000-000003000000}"/>
    <cellStyle name="Normal 3" xfId="4" xr:uid="{00000000-0005-0000-0000-000004000000}"/>
    <cellStyle name="Normal 3 2" xfId="6" xr:uid="{00000000-0005-0000-0000-000005000000}"/>
    <cellStyle name="Normal 3 2 2" xfId="67" xr:uid="{00000000-0005-0000-0000-000006000000}"/>
    <cellStyle name="Normal 3 2 3" xfId="59" xr:uid="{00000000-0005-0000-0000-000007000000}"/>
    <cellStyle name="Normal 3 3" xfId="7" xr:uid="{00000000-0005-0000-0000-000008000000}"/>
    <cellStyle name="Normal 3 3 2" xfId="12" xr:uid="{00000000-0005-0000-0000-000009000000}"/>
    <cellStyle name="Normal 3 3 2 2" xfId="17" xr:uid="{00000000-0005-0000-0000-00000A000000}"/>
    <cellStyle name="Normal 3 3 2 2 2" xfId="30" xr:uid="{00000000-0005-0000-0000-00000B000000}"/>
    <cellStyle name="Normal 3 3 2 2 2 2" xfId="52" xr:uid="{00000000-0005-0000-0000-00000C000000}"/>
    <cellStyle name="Normal 3 3 2 2 3" xfId="41" xr:uid="{00000000-0005-0000-0000-00000D000000}"/>
    <cellStyle name="Normal 3 3 2 3" xfId="25" xr:uid="{00000000-0005-0000-0000-00000E000000}"/>
    <cellStyle name="Normal 3 3 2 3 2" xfId="47" xr:uid="{00000000-0005-0000-0000-00000F000000}"/>
    <cellStyle name="Normal 3 3 2 4" xfId="36" xr:uid="{00000000-0005-0000-0000-000010000000}"/>
    <cellStyle name="Normal 3 3 3" xfId="14" xr:uid="{00000000-0005-0000-0000-000011000000}"/>
    <cellStyle name="Normal 3 3 3 2" xfId="27" xr:uid="{00000000-0005-0000-0000-000012000000}"/>
    <cellStyle name="Normal 3 3 3 2 2" xfId="49" xr:uid="{00000000-0005-0000-0000-000013000000}"/>
    <cellStyle name="Normal 3 3 3 3" xfId="38" xr:uid="{00000000-0005-0000-0000-000014000000}"/>
    <cellStyle name="Normal 3 3 4" xfId="22" xr:uid="{00000000-0005-0000-0000-000015000000}"/>
    <cellStyle name="Normal 3 3 4 2" xfId="44" xr:uid="{00000000-0005-0000-0000-000016000000}"/>
    <cellStyle name="Normal 3 3 5" xfId="33" xr:uid="{00000000-0005-0000-0000-000017000000}"/>
    <cellStyle name="Normal 3 3 6" xfId="55" xr:uid="{00000000-0005-0000-0000-000018000000}"/>
    <cellStyle name="Normal 3 4" xfId="11" xr:uid="{00000000-0005-0000-0000-000019000000}"/>
    <cellStyle name="Normal 3 4 2" xfId="16" xr:uid="{00000000-0005-0000-0000-00001A000000}"/>
    <cellStyle name="Normal 3 4 2 2" xfId="29" xr:uid="{00000000-0005-0000-0000-00001B000000}"/>
    <cellStyle name="Normal 3 4 2 2 2" xfId="51" xr:uid="{00000000-0005-0000-0000-00001C000000}"/>
    <cellStyle name="Normal 3 4 2 3" xfId="40" xr:uid="{00000000-0005-0000-0000-00001D000000}"/>
    <cellStyle name="Normal 3 4 3" xfId="24" xr:uid="{00000000-0005-0000-0000-00001E000000}"/>
    <cellStyle name="Normal 3 4 3 2" xfId="46" xr:uid="{00000000-0005-0000-0000-00001F000000}"/>
    <cellStyle name="Normal 3 4 4" xfId="35" xr:uid="{00000000-0005-0000-0000-000020000000}"/>
    <cellStyle name="Normal 3 5" xfId="13" xr:uid="{00000000-0005-0000-0000-000021000000}"/>
    <cellStyle name="Normal 3 5 2" xfId="26" xr:uid="{00000000-0005-0000-0000-000022000000}"/>
    <cellStyle name="Normal 3 5 2 2" xfId="48" xr:uid="{00000000-0005-0000-0000-000023000000}"/>
    <cellStyle name="Normal 3 5 3" xfId="37" xr:uid="{00000000-0005-0000-0000-000024000000}"/>
    <cellStyle name="Normal 3 6" xfId="21" xr:uid="{00000000-0005-0000-0000-000025000000}"/>
    <cellStyle name="Normal 3 6 2" xfId="43" xr:uid="{00000000-0005-0000-0000-000026000000}"/>
    <cellStyle name="Normal 3 7" xfId="32" xr:uid="{00000000-0005-0000-0000-000027000000}"/>
    <cellStyle name="Normal 3 8" xfId="54" xr:uid="{00000000-0005-0000-0000-000028000000}"/>
    <cellStyle name="Normal 4" xfId="9" xr:uid="{00000000-0005-0000-0000-000029000000}"/>
    <cellStyle name="Normal 4 2" xfId="68" xr:uid="{00000000-0005-0000-0000-00002A000000}"/>
    <cellStyle name="Normal 4 3" xfId="60" xr:uid="{00000000-0005-0000-0000-00002B000000}"/>
    <cellStyle name="Normal 5" xfId="8" xr:uid="{00000000-0005-0000-0000-00002C000000}"/>
    <cellStyle name="Normal 5 2" xfId="15" xr:uid="{00000000-0005-0000-0000-00002D000000}"/>
    <cellStyle name="Normal 5 2 2" xfId="28" xr:uid="{00000000-0005-0000-0000-00002E000000}"/>
    <cellStyle name="Normal 5 2 2 2" xfId="50" xr:uid="{00000000-0005-0000-0000-00002F000000}"/>
    <cellStyle name="Normal 5 2 3" xfId="39" xr:uid="{00000000-0005-0000-0000-000030000000}"/>
    <cellStyle name="Normal 5 3" xfId="23" xr:uid="{00000000-0005-0000-0000-000031000000}"/>
    <cellStyle name="Normal 5 3 2" xfId="45" xr:uid="{00000000-0005-0000-0000-000032000000}"/>
    <cellStyle name="Normal 5 4" xfId="34" xr:uid="{00000000-0005-0000-0000-000033000000}"/>
    <cellStyle name="Normal 6" xfId="31" xr:uid="{00000000-0005-0000-0000-000034000000}"/>
    <cellStyle name="Normal 6 2" xfId="53" xr:uid="{00000000-0005-0000-0000-000035000000}"/>
    <cellStyle name="Normal 7" xfId="19" xr:uid="{00000000-0005-0000-0000-000036000000}"/>
    <cellStyle name="Normal 7 2" xfId="70" xr:uid="{00000000-0005-0000-0000-000037000000}"/>
    <cellStyle name="Normal 7 3" xfId="62" xr:uid="{00000000-0005-0000-0000-000038000000}"/>
    <cellStyle name="Normal 8" xfId="18" xr:uid="{00000000-0005-0000-0000-000039000000}"/>
    <cellStyle name="Normal 8 2" xfId="42" xr:uid="{00000000-0005-0000-0000-00003A000000}"/>
    <cellStyle name="Normal 9" xfId="1" xr:uid="{00000000-0005-0000-0000-00003B000000}"/>
    <cellStyle name="Percent 2" xfId="5" xr:uid="{00000000-0005-0000-0000-00003C000000}"/>
    <cellStyle name="Percent 2 2" xfId="66" xr:uid="{00000000-0005-0000-0000-00003D000000}"/>
    <cellStyle name="Percent 2 3" xfId="58" xr:uid="{00000000-0005-0000-0000-00003E000000}"/>
    <cellStyle name="Percent 3" xfId="10" xr:uid="{00000000-0005-0000-0000-00003F000000}"/>
    <cellStyle name="Percent 3 2" xfId="69" xr:uid="{00000000-0005-0000-0000-000040000000}"/>
    <cellStyle name="Percent 3 3" xfId="61" xr:uid="{00000000-0005-0000-0000-000041000000}"/>
    <cellStyle name="Percent 4" xfId="20" xr:uid="{00000000-0005-0000-0000-000042000000}"/>
    <cellStyle name="Percent 4 2" xfId="71" xr:uid="{00000000-0005-0000-0000-000043000000}"/>
    <cellStyle name="Percent 4 3" xfId="63" xr:uid="{00000000-0005-0000-0000-000044000000}"/>
    <cellStyle name="Percent 5" xfId="3" xr:uid="{00000000-0005-0000-0000-000045000000}"/>
    <cellStyle name="Percent 5 2" xfId="57" xr:uid="{00000000-0005-0000-0000-000046000000}"/>
    <cellStyle name="Percent 6" xfId="65" xr:uid="{00000000-0005-0000-0000-000047000000}"/>
  </cellStyles>
  <dxfs count="8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ont>
        <color theme="0"/>
      </font>
    </dxf>
    <dxf>
      <font>
        <color rgb="FFFF0000"/>
      </font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2773"/>
  <sheetViews>
    <sheetView tabSelected="1" workbookViewId="0">
      <selection activeCell="D13" sqref="D13"/>
    </sheetView>
  </sheetViews>
  <sheetFormatPr defaultColWidth="10" defaultRowHeight="14.4" x14ac:dyDescent="0.3"/>
  <cols>
    <col min="1" max="1" width="13" style="1" customWidth="1"/>
    <col min="2" max="2" width="19.44140625" style="1" bestFit="1" customWidth="1"/>
    <col min="3" max="3" width="15.109375" style="1" customWidth="1"/>
    <col min="4" max="4" width="22.109375" style="1" bestFit="1" customWidth="1"/>
    <col min="5" max="5" width="13.6640625" style="1" customWidth="1"/>
    <col min="6" max="6" width="27" style="1" bestFit="1" customWidth="1"/>
    <col min="7" max="9" width="11.88671875" style="1" customWidth="1"/>
    <col min="10" max="11" width="9.5546875" style="1" customWidth="1"/>
    <col min="12" max="12" width="11" style="1" bestFit="1" customWidth="1"/>
    <col min="13" max="13" width="12" style="1" bestFit="1" customWidth="1"/>
    <col min="14" max="14" width="9.88671875" style="1" bestFit="1" customWidth="1"/>
    <col min="15" max="15" width="12.88671875" style="1" bestFit="1" customWidth="1"/>
    <col min="16" max="16" width="10" style="1" customWidth="1"/>
    <col min="17" max="16384" width="10" style="1"/>
  </cols>
  <sheetData>
    <row r="1" spans="1:15" ht="15" customHeight="1" x14ac:dyDescent="0.3">
      <c r="A1" s="17" t="s">
        <v>21</v>
      </c>
      <c r="B1" s="17"/>
      <c r="C1" s="17"/>
      <c r="D1" s="9"/>
      <c r="E1" s="6" t="s">
        <v>15</v>
      </c>
      <c r="F1" s="10" t="s">
        <v>36</v>
      </c>
      <c r="G1" s="1" t="s">
        <v>26</v>
      </c>
      <c r="H1" s="1">
        <f ca="1">SUMIF($F$14:$G$14934,"1*",$G$14:$G$14934)</f>
        <v>0</v>
      </c>
      <c r="N1" s="2"/>
    </row>
    <row r="2" spans="1:15" ht="15" customHeight="1" x14ac:dyDescent="0.3">
      <c r="A2" s="18" t="s">
        <v>22</v>
      </c>
      <c r="B2" s="18"/>
      <c r="C2" s="7" t="s">
        <v>23</v>
      </c>
      <c r="E2" s="6" t="s">
        <v>16</v>
      </c>
      <c r="F2" s="10" t="s">
        <v>0</v>
      </c>
      <c r="G2" s="1" t="s">
        <v>27</v>
      </c>
      <c r="H2" s="1">
        <f ca="1">SUMIF($F$14:$G$14934,"2*",$G$14:$G$14934)</f>
        <v>0</v>
      </c>
    </row>
    <row r="3" spans="1:15" ht="15" customHeight="1" x14ac:dyDescent="0.3">
      <c r="A3" s="16" t="s">
        <v>37</v>
      </c>
      <c r="B3" s="16"/>
      <c r="C3" s="11"/>
      <c r="E3" s="6" t="s">
        <v>17</v>
      </c>
      <c r="F3" s="15">
        <v>43901</v>
      </c>
      <c r="G3" s="1" t="s">
        <v>28</v>
      </c>
      <c r="H3" s="1">
        <f ca="1">SUMIF($F$14:$G$14934,"3*",$G$14:$G$14934)</f>
        <v>5377533</v>
      </c>
    </row>
    <row r="4" spans="1:15" ht="15" customHeight="1" x14ac:dyDescent="0.3">
      <c r="A4" s="16" t="s">
        <v>38</v>
      </c>
      <c r="B4" s="16"/>
      <c r="C4" s="8"/>
      <c r="E4" s="6" t="s">
        <v>18</v>
      </c>
      <c r="F4" s="10" t="s">
        <v>35</v>
      </c>
      <c r="G4" s="1" t="s">
        <v>29</v>
      </c>
      <c r="H4" s="1">
        <f ca="1">SUMIF($F$14:$G$14934,"4*",$G$14:$G$14934)</f>
        <v>0</v>
      </c>
    </row>
    <row r="5" spans="1:15" ht="15" customHeight="1" x14ac:dyDescent="0.3">
      <c r="A5" s="16" t="s">
        <v>39</v>
      </c>
      <c r="B5" s="16"/>
      <c r="C5" s="8"/>
      <c r="E5" s="6" t="s">
        <v>19</v>
      </c>
      <c r="F5" s="10" t="s">
        <v>1467</v>
      </c>
      <c r="G5" s="1" t="s">
        <v>30</v>
      </c>
      <c r="H5" s="1">
        <f ca="1">SUMIF($F$14:$G$14934,"5*",$G$14:$G$14934)</f>
        <v>0</v>
      </c>
    </row>
    <row r="6" spans="1:15" ht="15" customHeight="1" x14ac:dyDescent="0.3">
      <c r="A6" s="16" t="s">
        <v>40</v>
      </c>
      <c r="B6" s="16"/>
      <c r="C6" s="8"/>
      <c r="E6" s="6" t="s">
        <v>20</v>
      </c>
      <c r="F6" s="10" t="s">
        <v>1</v>
      </c>
      <c r="G6" s="1" t="s">
        <v>31</v>
      </c>
      <c r="H6" s="1">
        <f ca="1">SUMIF($F$14:$G$14934,"6*",$G$14:$G$14934)</f>
        <v>0</v>
      </c>
    </row>
    <row r="7" spans="1:15" ht="15" customHeight="1" x14ac:dyDescent="0.3">
      <c r="A7" s="16" t="s">
        <v>41</v>
      </c>
      <c r="B7" s="16"/>
      <c r="C7" s="8"/>
      <c r="G7" s="1" t="s">
        <v>32</v>
      </c>
      <c r="H7" s="1">
        <f ca="1">SUMIF($F$14:$G$14934,"7*",$G$14:$G$14934)</f>
        <v>0</v>
      </c>
    </row>
    <row r="8" spans="1:15" ht="15" customHeight="1" x14ac:dyDescent="0.3">
      <c r="A8" s="16" t="s">
        <v>42</v>
      </c>
      <c r="B8" s="16"/>
      <c r="C8" s="8"/>
      <c r="E8" s="6" t="s">
        <v>24</v>
      </c>
      <c r="F8" s="12">
        <f>SUM($E$14:$E$14934)</f>
        <v>5377533</v>
      </c>
      <c r="G8" s="1" t="s">
        <v>33</v>
      </c>
      <c r="H8" s="1">
        <f ca="1">SUMIF($F$14:$G$14934,"8*",$G$14:$G$14934)</f>
        <v>0</v>
      </c>
    </row>
    <row r="9" spans="1:15" ht="15" customHeight="1" x14ac:dyDescent="0.3">
      <c r="A9" s="16" t="s">
        <v>43</v>
      </c>
      <c r="B9" s="16"/>
      <c r="C9" s="8"/>
      <c r="E9" s="6" t="s">
        <v>25</v>
      </c>
      <c r="F9" s="12">
        <f>SUM($G$14:$G$14934)</f>
        <v>5377533</v>
      </c>
    </row>
    <row r="10" spans="1:15" ht="15" customHeight="1" thickBot="1" x14ac:dyDescent="0.35">
      <c r="A10" s="16" t="s">
        <v>44</v>
      </c>
      <c r="B10" s="16"/>
      <c r="C10" s="8"/>
      <c r="E10" s="6" t="s">
        <v>6</v>
      </c>
      <c r="F10" s="12">
        <f>F9-F8</f>
        <v>0</v>
      </c>
      <c r="G10" s="13" t="s">
        <v>34</v>
      </c>
      <c r="H10" s="13">
        <f ca="1">SUM(H1:H8)</f>
        <v>5377533</v>
      </c>
    </row>
    <row r="11" spans="1:15" ht="15" customHeight="1" thickTop="1" x14ac:dyDescent="0.3">
      <c r="A11" s="16" t="s">
        <v>45</v>
      </c>
      <c r="B11" s="16"/>
      <c r="C11" s="8"/>
    </row>
    <row r="12" spans="1:15" ht="15" customHeight="1" x14ac:dyDescent="0.3">
      <c r="A12" s="3"/>
    </row>
    <row r="13" spans="1:15" ht="28.8" x14ac:dyDescent="0.3">
      <c r="A13" s="5" t="s">
        <v>2</v>
      </c>
      <c r="B13" s="5" t="s">
        <v>3</v>
      </c>
      <c r="C13" s="5" t="s">
        <v>22</v>
      </c>
      <c r="D13" s="5" t="s">
        <v>1432</v>
      </c>
      <c r="E13" s="5" t="s">
        <v>4</v>
      </c>
      <c r="F13" s="5" t="s">
        <v>1431</v>
      </c>
      <c r="G13" s="5" t="s">
        <v>5</v>
      </c>
      <c r="H13" s="5" t="s">
        <v>6</v>
      </c>
      <c r="I13" s="5" t="s">
        <v>7</v>
      </c>
      <c r="J13" s="5" t="s">
        <v>13</v>
      </c>
      <c r="K13" s="5" t="s">
        <v>14</v>
      </c>
      <c r="L13" s="5" t="s">
        <v>8</v>
      </c>
      <c r="M13" s="5" t="s">
        <v>9</v>
      </c>
      <c r="N13" s="5" t="s">
        <v>10</v>
      </c>
      <c r="O13" s="5" t="s">
        <v>11</v>
      </c>
    </row>
    <row r="14" spans="1:15" x14ac:dyDescent="0.3">
      <c r="A14" s="4" t="s">
        <v>51</v>
      </c>
      <c r="B14" s="4" t="s">
        <v>46</v>
      </c>
      <c r="C14" s="4" t="s">
        <v>37</v>
      </c>
      <c r="D14" s="4" t="s">
        <v>1463</v>
      </c>
      <c r="E14" s="4">
        <v>130073</v>
      </c>
      <c r="F14" s="4" t="s">
        <v>1433</v>
      </c>
      <c r="G14" s="4">
        <v>130073</v>
      </c>
      <c r="H14" s="4">
        <v>0</v>
      </c>
      <c r="I14" s="4">
        <v>0</v>
      </c>
      <c r="J14" s="4"/>
      <c r="K14" s="4"/>
      <c r="L14" s="4"/>
      <c r="M14" s="4"/>
      <c r="N14" s="4"/>
      <c r="O14" s="4"/>
    </row>
    <row r="15" spans="1:15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</row>
    <row r="16" spans="1:15" x14ac:dyDescent="0.3">
      <c r="A16" s="4" t="s">
        <v>52</v>
      </c>
      <c r="B16" s="4" t="s">
        <v>46</v>
      </c>
      <c r="C16" s="4" t="s">
        <v>37</v>
      </c>
      <c r="D16" s="4" t="s">
        <v>1464</v>
      </c>
      <c r="E16" s="4">
        <v>7324</v>
      </c>
      <c r="F16" s="4" t="s">
        <v>1433</v>
      </c>
      <c r="G16" s="4">
        <v>7324</v>
      </c>
      <c r="H16" s="4">
        <v>0</v>
      </c>
      <c r="I16" s="4">
        <v>0</v>
      </c>
      <c r="J16" s="4"/>
      <c r="K16" s="4"/>
      <c r="L16" s="4"/>
      <c r="M16" s="4"/>
      <c r="N16" s="4"/>
      <c r="O16" s="4"/>
    </row>
    <row r="17" spans="1:15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</row>
    <row r="18" spans="1:15" x14ac:dyDescent="0.3">
      <c r="A18" s="4" t="s">
        <v>53</v>
      </c>
      <c r="B18" s="4" t="s">
        <v>47</v>
      </c>
      <c r="C18" s="4" t="s">
        <v>38</v>
      </c>
      <c r="D18" s="4">
        <v>1248900</v>
      </c>
      <c r="E18" s="4">
        <v>22263</v>
      </c>
      <c r="F18" s="4" t="s">
        <v>1433</v>
      </c>
      <c r="G18" s="4">
        <v>22263</v>
      </c>
      <c r="H18" s="4">
        <v>0</v>
      </c>
      <c r="I18" s="4">
        <v>0</v>
      </c>
      <c r="J18" s="4"/>
      <c r="K18" s="4"/>
      <c r="L18" s="4"/>
      <c r="M18" s="4"/>
      <c r="N18" s="4"/>
      <c r="O18" s="4"/>
    </row>
    <row r="19" spans="1:15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</row>
    <row r="20" spans="1:15" x14ac:dyDescent="0.3">
      <c r="A20" s="4" t="s">
        <v>54</v>
      </c>
      <c r="B20" s="4" t="s">
        <v>49</v>
      </c>
      <c r="C20" s="4" t="s">
        <v>38</v>
      </c>
      <c r="D20" s="4">
        <v>1900908</v>
      </c>
      <c r="E20" s="4">
        <v>19</v>
      </c>
      <c r="F20" s="4" t="s">
        <v>1433</v>
      </c>
      <c r="G20" s="4">
        <v>19</v>
      </c>
      <c r="H20" s="4">
        <v>0</v>
      </c>
      <c r="I20" s="4">
        <v>0</v>
      </c>
      <c r="J20" s="4"/>
      <c r="K20" s="4"/>
      <c r="L20" s="4"/>
      <c r="M20" s="4"/>
      <c r="N20" s="4"/>
      <c r="O20" s="4"/>
    </row>
    <row r="21" spans="1:15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15" x14ac:dyDescent="0.3">
      <c r="A22" s="4" t="s">
        <v>55</v>
      </c>
      <c r="B22" s="4" t="s">
        <v>47</v>
      </c>
      <c r="C22" s="4" t="s">
        <v>38</v>
      </c>
      <c r="D22" s="4">
        <v>2367288</v>
      </c>
      <c r="E22" s="4">
        <v>2703</v>
      </c>
      <c r="F22" s="4" t="s">
        <v>1433</v>
      </c>
      <c r="G22" s="4">
        <v>2703</v>
      </c>
      <c r="H22" s="4">
        <v>0</v>
      </c>
      <c r="I22" s="4">
        <v>0</v>
      </c>
      <c r="J22" s="4"/>
      <c r="K22" s="4"/>
      <c r="L22" s="4"/>
      <c r="M22" s="4"/>
      <c r="N22" s="4"/>
      <c r="O22" s="4"/>
    </row>
    <row r="23" spans="1:15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15" x14ac:dyDescent="0.3">
      <c r="A24" s="4" t="s">
        <v>56</v>
      </c>
      <c r="B24" s="4" t="s">
        <v>47</v>
      </c>
      <c r="C24" s="4" t="s">
        <v>38</v>
      </c>
      <c r="D24" s="4">
        <v>2367360</v>
      </c>
      <c r="E24" s="4">
        <v>4467</v>
      </c>
      <c r="F24" s="4" t="s">
        <v>1433</v>
      </c>
      <c r="G24" s="4">
        <v>4467</v>
      </c>
      <c r="H24" s="4">
        <v>0</v>
      </c>
      <c r="I24" s="4">
        <v>0</v>
      </c>
      <c r="J24" s="4"/>
      <c r="K24" s="4"/>
      <c r="L24" s="4"/>
      <c r="M24" s="4"/>
      <c r="N24" s="4"/>
      <c r="O24" s="4"/>
    </row>
    <row r="25" spans="1:15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</row>
    <row r="26" spans="1:15" x14ac:dyDescent="0.3">
      <c r="A26" s="4" t="s">
        <v>57</v>
      </c>
      <c r="B26" s="4" t="s">
        <v>49</v>
      </c>
      <c r="C26" s="4" t="s">
        <v>38</v>
      </c>
      <c r="D26" s="4">
        <v>2975976</v>
      </c>
      <c r="E26" s="4">
        <v>457</v>
      </c>
      <c r="F26" s="4" t="s">
        <v>1433</v>
      </c>
      <c r="G26" s="4">
        <v>457</v>
      </c>
      <c r="H26" s="4">
        <v>0</v>
      </c>
      <c r="I26" s="4">
        <v>0</v>
      </c>
      <c r="J26" s="4"/>
      <c r="K26" s="4"/>
      <c r="L26" s="4"/>
      <c r="M26" s="4"/>
      <c r="N26" s="4"/>
      <c r="O26" s="4"/>
    </row>
    <row r="27" spans="1:15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28" spans="1:15" x14ac:dyDescent="0.3">
      <c r="A28" s="4" t="s">
        <v>58</v>
      </c>
      <c r="B28" s="4" t="s">
        <v>49</v>
      </c>
      <c r="C28" s="4" t="s">
        <v>38</v>
      </c>
      <c r="D28" s="4">
        <v>4255110</v>
      </c>
      <c r="E28" s="4">
        <v>1579</v>
      </c>
      <c r="F28" s="4" t="s">
        <v>1433</v>
      </c>
      <c r="G28" s="4">
        <v>1579</v>
      </c>
      <c r="H28" s="4">
        <v>0</v>
      </c>
      <c r="I28" s="4">
        <v>0</v>
      </c>
      <c r="J28" s="4"/>
      <c r="K28" s="4"/>
      <c r="L28" s="4"/>
      <c r="M28" s="4"/>
      <c r="N28" s="4"/>
      <c r="O28" s="4"/>
    </row>
    <row r="29" spans="1:15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</row>
    <row r="30" spans="1:15" x14ac:dyDescent="0.3">
      <c r="A30" s="4" t="s">
        <v>59</v>
      </c>
      <c r="B30" s="4" t="s">
        <v>49</v>
      </c>
      <c r="C30" s="4" t="s">
        <v>38</v>
      </c>
      <c r="D30" s="4">
        <v>4779336</v>
      </c>
      <c r="E30" s="4">
        <v>220</v>
      </c>
      <c r="F30" s="4" t="s">
        <v>1433</v>
      </c>
      <c r="G30" s="4">
        <v>220</v>
      </c>
      <c r="H30" s="4">
        <v>0</v>
      </c>
      <c r="I30" s="4">
        <v>0</v>
      </c>
      <c r="J30" s="4"/>
      <c r="K30" s="4"/>
      <c r="L30" s="4"/>
      <c r="M30" s="4"/>
      <c r="N30" s="4"/>
      <c r="O30" s="4"/>
    </row>
    <row r="31" spans="1:15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</row>
    <row r="32" spans="1:15" x14ac:dyDescent="0.3">
      <c r="A32" s="4" t="s">
        <v>60</v>
      </c>
      <c r="B32" s="4" t="s">
        <v>47</v>
      </c>
      <c r="C32" s="4" t="s">
        <v>38</v>
      </c>
      <c r="D32" s="4">
        <v>5638422</v>
      </c>
      <c r="E32" s="4">
        <v>37717</v>
      </c>
      <c r="F32" s="4" t="s">
        <v>1433</v>
      </c>
      <c r="G32" s="4">
        <v>37717</v>
      </c>
      <c r="H32" s="4">
        <v>0</v>
      </c>
      <c r="I32" s="4">
        <v>0</v>
      </c>
      <c r="J32" s="4"/>
      <c r="K32" s="4"/>
      <c r="L32" s="4"/>
      <c r="M32" s="4"/>
      <c r="N32" s="4"/>
      <c r="O32" s="4"/>
    </row>
    <row r="33" spans="1:15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x14ac:dyDescent="0.3">
      <c r="A34" s="4" t="s">
        <v>61</v>
      </c>
      <c r="B34" s="4" t="s">
        <v>48</v>
      </c>
      <c r="C34" s="4" t="s">
        <v>38</v>
      </c>
      <c r="D34" s="4">
        <v>5777514</v>
      </c>
      <c r="E34" s="4">
        <v>690</v>
      </c>
      <c r="F34" s="4" t="s">
        <v>1433</v>
      </c>
      <c r="G34" s="4">
        <v>690</v>
      </c>
      <c r="H34" s="4">
        <v>0</v>
      </c>
      <c r="I34" s="4">
        <v>0</v>
      </c>
      <c r="J34" s="4"/>
      <c r="K34" s="4"/>
      <c r="L34" s="4"/>
      <c r="M34" s="4"/>
      <c r="N34" s="4"/>
      <c r="O34" s="4"/>
    </row>
    <row r="35" spans="1:15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</row>
    <row r="36" spans="1:15" x14ac:dyDescent="0.3">
      <c r="A36" s="4" t="s">
        <v>62</v>
      </c>
      <c r="B36" s="4" t="s">
        <v>49</v>
      </c>
      <c r="C36" s="4" t="s">
        <v>39</v>
      </c>
      <c r="D36" s="4">
        <v>1909020</v>
      </c>
      <c r="E36" s="4">
        <v>95</v>
      </c>
      <c r="F36" s="4" t="s">
        <v>1433</v>
      </c>
      <c r="G36" s="4">
        <v>95</v>
      </c>
      <c r="H36" s="4">
        <v>0</v>
      </c>
      <c r="I36" s="4">
        <v>0</v>
      </c>
      <c r="J36" s="4"/>
      <c r="K36" s="4"/>
      <c r="L36" s="4"/>
      <c r="M36" s="4"/>
      <c r="N36" s="4"/>
      <c r="O36" s="4"/>
    </row>
    <row r="37" spans="1:15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</row>
    <row r="38" spans="1:15" x14ac:dyDescent="0.3">
      <c r="A38" s="4" t="s">
        <v>63</v>
      </c>
      <c r="B38" s="4" t="s">
        <v>49</v>
      </c>
      <c r="C38" s="4" t="s">
        <v>39</v>
      </c>
      <c r="D38" s="4">
        <v>2224374</v>
      </c>
      <c r="E38" s="4">
        <v>1659</v>
      </c>
      <c r="F38" s="4" t="s">
        <v>1433</v>
      </c>
      <c r="G38" s="4">
        <v>1659</v>
      </c>
      <c r="H38" s="4">
        <v>0</v>
      </c>
      <c r="I38" s="4">
        <v>0</v>
      </c>
      <c r="J38" s="4"/>
      <c r="K38" s="4"/>
      <c r="L38" s="4"/>
      <c r="M38" s="4"/>
      <c r="N38" s="4"/>
      <c r="O38" s="4"/>
    </row>
    <row r="39" spans="1:15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</row>
    <row r="40" spans="1:15" x14ac:dyDescent="0.3">
      <c r="A40" s="4" t="s">
        <v>64</v>
      </c>
      <c r="B40" s="4" t="s">
        <v>49</v>
      </c>
      <c r="C40" s="4" t="s">
        <v>40</v>
      </c>
      <c r="D40" s="4" t="s">
        <v>1465</v>
      </c>
      <c r="E40" s="4">
        <v>712</v>
      </c>
      <c r="F40" s="4" t="s">
        <v>1433</v>
      </c>
      <c r="G40" s="4">
        <v>712</v>
      </c>
      <c r="H40" s="4">
        <v>0</v>
      </c>
      <c r="I40" s="4">
        <v>0</v>
      </c>
      <c r="J40" s="4"/>
      <c r="K40" s="4"/>
      <c r="L40" s="4"/>
      <c r="M40" s="4"/>
      <c r="N40" s="4"/>
      <c r="O40" s="4"/>
    </row>
    <row r="41" spans="1:15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x14ac:dyDescent="0.3">
      <c r="A42" s="4" t="s">
        <v>65</v>
      </c>
      <c r="B42" s="4" t="s">
        <v>49</v>
      </c>
      <c r="C42" s="4" t="s">
        <v>41</v>
      </c>
      <c r="D42" s="4" t="s">
        <v>1466</v>
      </c>
      <c r="E42" s="4">
        <v>1249</v>
      </c>
      <c r="F42" s="4" t="s">
        <v>1433</v>
      </c>
      <c r="G42" s="4">
        <v>1249</v>
      </c>
      <c r="H42" s="4">
        <v>0</v>
      </c>
      <c r="I42" s="4">
        <v>0</v>
      </c>
      <c r="J42" s="4"/>
      <c r="K42" s="4"/>
      <c r="L42" s="4"/>
      <c r="M42" s="4"/>
      <c r="N42" s="4"/>
      <c r="O42" s="4"/>
    </row>
    <row r="43" spans="1:15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</row>
    <row r="44" spans="1:15" x14ac:dyDescent="0.3">
      <c r="A44" s="4" t="s">
        <v>66</v>
      </c>
      <c r="B44" s="4" t="s">
        <v>47</v>
      </c>
      <c r="C44" s="4" t="s">
        <v>42</v>
      </c>
      <c r="D44" s="4">
        <v>4370460264</v>
      </c>
      <c r="E44" s="4">
        <v>129230</v>
      </c>
      <c r="F44" s="4" t="s">
        <v>1433</v>
      </c>
      <c r="G44" s="4">
        <v>129230</v>
      </c>
      <c r="H44" s="4">
        <v>0</v>
      </c>
      <c r="I44" s="4">
        <v>0</v>
      </c>
      <c r="J44" s="4"/>
      <c r="K44" s="4"/>
      <c r="L44" s="4"/>
      <c r="M44" s="4"/>
      <c r="N44" s="4"/>
      <c r="O44" s="4"/>
    </row>
    <row r="45" spans="1:15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</row>
    <row r="46" spans="1:15" x14ac:dyDescent="0.3">
      <c r="A46" s="4" t="s">
        <v>67</v>
      </c>
      <c r="B46" s="4" t="s">
        <v>47</v>
      </c>
      <c r="C46" s="4" t="s">
        <v>42</v>
      </c>
      <c r="D46" s="4">
        <v>4370460270</v>
      </c>
      <c r="E46" s="4">
        <v>16934</v>
      </c>
      <c r="F46" s="4" t="s">
        <v>1433</v>
      </c>
      <c r="G46" s="4">
        <v>16934</v>
      </c>
      <c r="H46" s="4">
        <v>0</v>
      </c>
      <c r="I46" s="4">
        <v>0</v>
      </c>
      <c r="J46" s="4"/>
      <c r="K46" s="4"/>
      <c r="L46" s="4"/>
      <c r="M46" s="4"/>
      <c r="N46" s="4"/>
      <c r="O46" s="4"/>
    </row>
    <row r="47" spans="1:15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1:15" x14ac:dyDescent="0.3">
      <c r="A48" s="4" t="s">
        <v>68</v>
      </c>
      <c r="B48" s="4" t="s">
        <v>47</v>
      </c>
      <c r="C48" s="4" t="s">
        <v>42</v>
      </c>
      <c r="D48" s="4">
        <v>4370460276</v>
      </c>
      <c r="E48" s="4">
        <v>19578</v>
      </c>
      <c r="F48" s="4" t="s">
        <v>1433</v>
      </c>
      <c r="G48" s="4">
        <v>19578</v>
      </c>
      <c r="H48" s="4">
        <v>0</v>
      </c>
      <c r="I48" s="4">
        <v>0</v>
      </c>
      <c r="J48" s="4"/>
      <c r="K48" s="4"/>
      <c r="L48" s="4"/>
      <c r="M48" s="4"/>
      <c r="N48" s="4"/>
      <c r="O48" s="4"/>
    </row>
    <row r="49" spans="1:15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1:15" x14ac:dyDescent="0.3">
      <c r="A50" s="4" t="s">
        <v>69</v>
      </c>
      <c r="B50" s="4" t="s">
        <v>47</v>
      </c>
      <c r="C50" s="4" t="s">
        <v>42</v>
      </c>
      <c r="D50" s="4">
        <v>4370460282</v>
      </c>
      <c r="E50" s="4">
        <v>29258</v>
      </c>
      <c r="F50" s="4" t="s">
        <v>1433</v>
      </c>
      <c r="G50" s="4">
        <v>29258</v>
      </c>
      <c r="H50" s="4">
        <v>0</v>
      </c>
      <c r="I50" s="4">
        <v>0</v>
      </c>
      <c r="J50" s="4"/>
      <c r="K50" s="4"/>
      <c r="L50" s="4"/>
      <c r="M50" s="4"/>
      <c r="N50" s="4"/>
      <c r="O50" s="4"/>
    </row>
    <row r="51" spans="1:15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15" x14ac:dyDescent="0.3">
      <c r="A52" s="4" t="s">
        <v>70</v>
      </c>
      <c r="B52" s="4" t="s">
        <v>47</v>
      </c>
      <c r="C52" s="4" t="s">
        <v>42</v>
      </c>
      <c r="D52" s="4">
        <v>4370460283</v>
      </c>
      <c r="E52" s="4">
        <v>30529</v>
      </c>
      <c r="F52" s="4" t="s">
        <v>1433</v>
      </c>
      <c r="G52" s="4">
        <v>30529</v>
      </c>
      <c r="H52" s="4">
        <v>0</v>
      </c>
      <c r="I52" s="4">
        <v>0</v>
      </c>
      <c r="J52" s="4"/>
      <c r="K52" s="4"/>
      <c r="L52" s="4"/>
      <c r="M52" s="4"/>
      <c r="N52" s="4"/>
      <c r="O52" s="4"/>
    </row>
    <row r="53" spans="1:15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  <row r="54" spans="1:15" x14ac:dyDescent="0.3">
      <c r="A54" s="4" t="s">
        <v>71</v>
      </c>
      <c r="B54" s="4" t="s">
        <v>50</v>
      </c>
      <c r="C54" s="4" t="s">
        <v>42</v>
      </c>
      <c r="D54" s="4">
        <v>4370460284</v>
      </c>
      <c r="E54" s="4">
        <v>187544</v>
      </c>
      <c r="F54" s="4" t="s">
        <v>1433</v>
      </c>
      <c r="G54" s="4">
        <v>187544</v>
      </c>
      <c r="H54" s="4">
        <v>0</v>
      </c>
      <c r="I54" s="4">
        <v>0</v>
      </c>
      <c r="J54" s="4"/>
      <c r="K54" s="4"/>
      <c r="L54" s="4"/>
      <c r="M54" s="4"/>
      <c r="N54" s="4"/>
      <c r="O54" s="4"/>
    </row>
    <row r="55" spans="1:15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</row>
    <row r="56" spans="1:15" x14ac:dyDescent="0.3">
      <c r="A56" s="4" t="s">
        <v>72</v>
      </c>
      <c r="B56" s="4" t="s">
        <v>50</v>
      </c>
      <c r="C56" s="4" t="s">
        <v>42</v>
      </c>
      <c r="D56" s="4">
        <v>4370460285</v>
      </c>
      <c r="E56" s="4">
        <v>44550</v>
      </c>
      <c r="F56" s="4" t="s">
        <v>1433</v>
      </c>
      <c r="G56" s="4">
        <v>44550</v>
      </c>
      <c r="H56" s="4">
        <v>0</v>
      </c>
      <c r="I56" s="4">
        <v>0</v>
      </c>
      <c r="J56" s="4"/>
      <c r="K56" s="4"/>
      <c r="L56" s="4"/>
      <c r="M56" s="4"/>
      <c r="N56" s="4"/>
      <c r="O56" s="4"/>
    </row>
    <row r="57" spans="1:15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</row>
    <row r="58" spans="1:15" x14ac:dyDescent="0.3">
      <c r="A58" s="4" t="s">
        <v>73</v>
      </c>
      <c r="B58" s="4" t="s">
        <v>47</v>
      </c>
      <c r="C58" s="4" t="s">
        <v>42</v>
      </c>
      <c r="D58" s="4">
        <v>4370460286</v>
      </c>
      <c r="E58" s="4">
        <v>12621</v>
      </c>
      <c r="F58" s="4" t="s">
        <v>1433</v>
      </c>
      <c r="G58" s="4">
        <v>12621</v>
      </c>
      <c r="H58" s="4">
        <v>0</v>
      </c>
      <c r="I58" s="4">
        <v>0</v>
      </c>
      <c r="J58" s="4"/>
      <c r="K58" s="4"/>
      <c r="L58" s="4"/>
      <c r="M58" s="4"/>
      <c r="N58" s="4"/>
      <c r="O58" s="4"/>
    </row>
    <row r="59" spans="1:15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</row>
    <row r="60" spans="1:15" x14ac:dyDescent="0.3">
      <c r="A60" s="4" t="s">
        <v>74</v>
      </c>
      <c r="B60" s="4" t="s">
        <v>50</v>
      </c>
      <c r="C60" s="4" t="s">
        <v>42</v>
      </c>
      <c r="D60" s="4">
        <v>4370460287</v>
      </c>
      <c r="E60" s="4">
        <v>13896</v>
      </c>
      <c r="F60" s="4" t="s">
        <v>1433</v>
      </c>
      <c r="G60" s="4">
        <v>13896</v>
      </c>
      <c r="H60" s="4">
        <v>0</v>
      </c>
      <c r="I60" s="4">
        <v>0</v>
      </c>
      <c r="J60" s="4"/>
      <c r="K60" s="4"/>
      <c r="L60" s="4"/>
      <c r="M60" s="4"/>
      <c r="N60" s="4"/>
      <c r="O60" s="4"/>
    </row>
    <row r="61" spans="1:15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</row>
    <row r="62" spans="1:15" x14ac:dyDescent="0.3">
      <c r="A62" s="4" t="s">
        <v>75</v>
      </c>
      <c r="B62" s="4" t="s">
        <v>49</v>
      </c>
      <c r="C62" s="4" t="s">
        <v>42</v>
      </c>
      <c r="D62" s="4">
        <v>4370460288</v>
      </c>
      <c r="E62" s="4">
        <v>463</v>
      </c>
      <c r="F62" s="4" t="s">
        <v>1433</v>
      </c>
      <c r="G62" s="4">
        <v>463</v>
      </c>
      <c r="H62" s="4">
        <v>0</v>
      </c>
      <c r="I62" s="4">
        <v>0</v>
      </c>
      <c r="J62" s="4"/>
      <c r="K62" s="4"/>
      <c r="L62" s="4"/>
      <c r="M62" s="4"/>
      <c r="N62" s="4"/>
      <c r="O62" s="4"/>
    </row>
    <row r="63" spans="1:15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</row>
    <row r="64" spans="1:15" x14ac:dyDescent="0.3">
      <c r="A64" s="4" t="s">
        <v>76</v>
      </c>
      <c r="B64" s="4" t="s">
        <v>46</v>
      </c>
      <c r="C64" s="4" t="s">
        <v>42</v>
      </c>
      <c r="D64" s="4">
        <v>1342282830</v>
      </c>
      <c r="E64" s="4">
        <v>5289</v>
      </c>
      <c r="F64" s="4" t="s">
        <v>1433</v>
      </c>
      <c r="G64" s="4">
        <v>5289</v>
      </c>
      <c r="H64" s="4">
        <v>0</v>
      </c>
      <c r="I64" s="4">
        <v>0</v>
      </c>
      <c r="J64" s="4"/>
      <c r="K64" s="4"/>
      <c r="L64" s="4"/>
      <c r="M64" s="4"/>
      <c r="N64" s="4"/>
      <c r="O64" s="4"/>
    </row>
    <row r="65" spans="1:15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</row>
    <row r="66" spans="1:15" x14ac:dyDescent="0.3">
      <c r="A66" s="4" t="s">
        <v>77</v>
      </c>
      <c r="B66" s="4" t="s">
        <v>49</v>
      </c>
      <c r="C66" s="4" t="s">
        <v>43</v>
      </c>
      <c r="D66" s="4">
        <v>963978</v>
      </c>
      <c r="E66" s="4">
        <v>206</v>
      </c>
      <c r="F66" s="4" t="s">
        <v>1433</v>
      </c>
      <c r="G66" s="4">
        <v>206</v>
      </c>
      <c r="H66" s="4">
        <v>0</v>
      </c>
      <c r="I66" s="4">
        <v>0</v>
      </c>
      <c r="J66" s="4"/>
      <c r="K66" s="4"/>
      <c r="L66" s="4"/>
      <c r="M66" s="4"/>
      <c r="N66" s="4"/>
      <c r="O66" s="4"/>
    </row>
    <row r="67" spans="1:15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</row>
    <row r="68" spans="1:15" x14ac:dyDescent="0.3">
      <c r="A68" s="4" t="s">
        <v>78</v>
      </c>
      <c r="B68" s="4" t="s">
        <v>49</v>
      </c>
      <c r="C68" s="4" t="s">
        <v>43</v>
      </c>
      <c r="D68" s="4">
        <v>1034814</v>
      </c>
      <c r="E68" s="4">
        <v>2954</v>
      </c>
      <c r="F68" s="4" t="s">
        <v>1433</v>
      </c>
      <c r="G68" s="4">
        <v>2954</v>
      </c>
      <c r="H68" s="4">
        <v>0</v>
      </c>
      <c r="I68" s="4">
        <v>0</v>
      </c>
      <c r="J68" s="4"/>
      <c r="K68" s="4"/>
      <c r="L68" s="4"/>
      <c r="M68" s="4"/>
      <c r="N68" s="4"/>
      <c r="O68" s="4"/>
    </row>
    <row r="69" spans="1:15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</row>
    <row r="70" spans="1:15" x14ac:dyDescent="0.3">
      <c r="A70" s="4" t="s">
        <v>79</v>
      </c>
      <c r="B70" s="4" t="s">
        <v>49</v>
      </c>
      <c r="C70" s="4" t="s">
        <v>43</v>
      </c>
      <c r="D70" s="4">
        <v>1034868</v>
      </c>
      <c r="E70" s="4">
        <v>457</v>
      </c>
      <c r="F70" s="4" t="s">
        <v>1433</v>
      </c>
      <c r="G70" s="4">
        <v>457</v>
      </c>
      <c r="H70" s="4">
        <v>0</v>
      </c>
      <c r="I70" s="4">
        <v>0</v>
      </c>
      <c r="J70" s="4"/>
      <c r="K70" s="4"/>
      <c r="L70" s="4"/>
      <c r="M70" s="4"/>
      <c r="N70" s="4"/>
      <c r="O70" s="4"/>
    </row>
    <row r="71" spans="1:15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</row>
    <row r="72" spans="1:15" x14ac:dyDescent="0.3">
      <c r="A72" s="4" t="s">
        <v>80</v>
      </c>
      <c r="B72" s="4" t="s">
        <v>49</v>
      </c>
      <c r="C72" s="4" t="s">
        <v>43</v>
      </c>
      <c r="D72" s="4">
        <v>1035204</v>
      </c>
      <c r="E72" s="4">
        <v>702</v>
      </c>
      <c r="F72" s="4" t="s">
        <v>1433</v>
      </c>
      <c r="G72" s="4">
        <v>702</v>
      </c>
      <c r="H72" s="4">
        <v>0</v>
      </c>
      <c r="I72" s="4">
        <v>0</v>
      </c>
      <c r="J72" s="4"/>
      <c r="K72" s="4"/>
      <c r="L72" s="4"/>
      <c r="M72" s="4"/>
      <c r="N72" s="4"/>
      <c r="O72" s="4"/>
    </row>
    <row r="73" spans="1:15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</row>
    <row r="74" spans="1:15" x14ac:dyDescent="0.3">
      <c r="A74" s="4" t="s">
        <v>81</v>
      </c>
      <c r="B74" s="4" t="s">
        <v>49</v>
      </c>
      <c r="C74" s="4" t="s">
        <v>43</v>
      </c>
      <c r="D74" s="4">
        <v>1035738</v>
      </c>
      <c r="E74" s="4">
        <v>3603</v>
      </c>
      <c r="F74" s="4" t="s">
        <v>1433</v>
      </c>
      <c r="G74" s="4">
        <v>3603</v>
      </c>
      <c r="H74" s="4">
        <v>0</v>
      </c>
      <c r="I74" s="4">
        <v>0</v>
      </c>
      <c r="J74" s="4"/>
      <c r="K74" s="4"/>
      <c r="L74" s="4"/>
      <c r="M74" s="4"/>
      <c r="N74" s="4"/>
      <c r="O74" s="4"/>
    </row>
    <row r="75" spans="1:15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</row>
    <row r="76" spans="1:15" x14ac:dyDescent="0.3">
      <c r="A76" s="4" t="s">
        <v>82</v>
      </c>
      <c r="B76" s="4" t="s">
        <v>49</v>
      </c>
      <c r="C76" s="4" t="s">
        <v>43</v>
      </c>
      <c r="D76" s="4">
        <v>1040142</v>
      </c>
      <c r="E76" s="4">
        <v>674</v>
      </c>
      <c r="F76" s="4" t="s">
        <v>1433</v>
      </c>
      <c r="G76" s="4">
        <v>674</v>
      </c>
      <c r="H76" s="4">
        <v>0</v>
      </c>
      <c r="I76" s="4">
        <v>0</v>
      </c>
      <c r="J76" s="4"/>
      <c r="K76" s="4"/>
      <c r="L76" s="4"/>
      <c r="M76" s="4"/>
      <c r="N76" s="4"/>
      <c r="O76" s="4"/>
    </row>
    <row r="77" spans="1:15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</row>
    <row r="78" spans="1:15" x14ac:dyDescent="0.3">
      <c r="A78" s="4" t="s">
        <v>83</v>
      </c>
      <c r="B78" s="4" t="s">
        <v>49</v>
      </c>
      <c r="C78" s="4" t="s">
        <v>43</v>
      </c>
      <c r="D78" s="4">
        <v>1900602</v>
      </c>
      <c r="E78" s="4">
        <v>1970</v>
      </c>
      <c r="F78" s="4" t="s">
        <v>1433</v>
      </c>
      <c r="G78" s="4">
        <v>1970</v>
      </c>
      <c r="H78" s="4">
        <v>0</v>
      </c>
      <c r="I78" s="4">
        <v>0</v>
      </c>
      <c r="J78" s="4"/>
      <c r="K78" s="4"/>
      <c r="L78" s="4"/>
      <c r="M78" s="4"/>
      <c r="N78" s="4"/>
      <c r="O78" s="4"/>
    </row>
    <row r="79" spans="1:15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</row>
    <row r="80" spans="1:15" x14ac:dyDescent="0.3">
      <c r="A80" s="4" t="s">
        <v>84</v>
      </c>
      <c r="B80" s="4" t="s">
        <v>49</v>
      </c>
      <c r="C80" s="4" t="s">
        <v>43</v>
      </c>
      <c r="D80" s="4">
        <v>1900896</v>
      </c>
      <c r="E80" s="4">
        <v>131</v>
      </c>
      <c r="F80" s="4" t="s">
        <v>1433</v>
      </c>
      <c r="G80" s="4">
        <v>131</v>
      </c>
      <c r="H80" s="4">
        <v>0</v>
      </c>
      <c r="I80" s="4">
        <v>0</v>
      </c>
      <c r="J80" s="4"/>
      <c r="K80" s="4"/>
      <c r="L80" s="4"/>
      <c r="M80" s="4"/>
      <c r="N80" s="4"/>
      <c r="O80" s="4"/>
    </row>
    <row r="81" spans="1:15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</row>
    <row r="82" spans="1:15" x14ac:dyDescent="0.3">
      <c r="A82" s="4" t="s">
        <v>85</v>
      </c>
      <c r="B82" s="4" t="s">
        <v>49</v>
      </c>
      <c r="C82" s="4" t="s">
        <v>43</v>
      </c>
      <c r="D82" s="4">
        <v>1901562</v>
      </c>
      <c r="E82" s="4">
        <v>595</v>
      </c>
      <c r="F82" s="4" t="s">
        <v>1433</v>
      </c>
      <c r="G82" s="4">
        <v>595</v>
      </c>
      <c r="H82" s="4">
        <v>0</v>
      </c>
      <c r="I82" s="4">
        <v>0</v>
      </c>
      <c r="J82" s="4"/>
      <c r="K82" s="4"/>
      <c r="L82" s="4"/>
      <c r="M82" s="4"/>
      <c r="N82" s="4"/>
      <c r="O82" s="4"/>
    </row>
    <row r="83" spans="1:15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</row>
    <row r="84" spans="1:15" x14ac:dyDescent="0.3">
      <c r="A84" s="4" t="s">
        <v>86</v>
      </c>
      <c r="B84" s="4" t="s">
        <v>49</v>
      </c>
      <c r="C84" s="4" t="s">
        <v>43</v>
      </c>
      <c r="D84" s="4">
        <v>1901790</v>
      </c>
      <c r="E84" s="4">
        <v>100</v>
      </c>
      <c r="F84" s="4" t="s">
        <v>1433</v>
      </c>
      <c r="G84" s="4">
        <v>100</v>
      </c>
      <c r="H84" s="4">
        <v>0</v>
      </c>
      <c r="I84" s="4">
        <v>0</v>
      </c>
      <c r="J84" s="4"/>
      <c r="K84" s="4"/>
      <c r="L84" s="4"/>
      <c r="M84" s="4"/>
      <c r="N84" s="4"/>
      <c r="O84" s="4"/>
    </row>
    <row r="85" spans="1:15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</row>
    <row r="86" spans="1:15" x14ac:dyDescent="0.3">
      <c r="A86" s="4" t="s">
        <v>87</v>
      </c>
      <c r="B86" s="4" t="s">
        <v>49</v>
      </c>
      <c r="C86" s="4" t="s">
        <v>43</v>
      </c>
      <c r="D86" s="4">
        <v>1901868</v>
      </c>
      <c r="E86" s="4">
        <v>143</v>
      </c>
      <c r="F86" s="4" t="s">
        <v>1433</v>
      </c>
      <c r="G86" s="4">
        <v>143</v>
      </c>
      <c r="H86" s="4">
        <v>0</v>
      </c>
      <c r="I86" s="4">
        <v>0</v>
      </c>
      <c r="J86" s="4"/>
      <c r="K86" s="4"/>
      <c r="L86" s="4"/>
      <c r="M86" s="4"/>
      <c r="N86" s="4"/>
      <c r="O86" s="4"/>
    </row>
    <row r="87" spans="1:15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</row>
    <row r="88" spans="1:15" x14ac:dyDescent="0.3">
      <c r="A88" s="4" t="s">
        <v>88</v>
      </c>
      <c r="B88" s="4" t="s">
        <v>49</v>
      </c>
      <c r="C88" s="4" t="s">
        <v>43</v>
      </c>
      <c r="D88" s="4">
        <v>2890926</v>
      </c>
      <c r="E88" s="4">
        <v>430</v>
      </c>
      <c r="F88" s="4" t="s">
        <v>1433</v>
      </c>
      <c r="G88" s="4">
        <v>430</v>
      </c>
      <c r="H88" s="4">
        <v>0</v>
      </c>
      <c r="I88" s="4">
        <v>0</v>
      </c>
      <c r="J88" s="4"/>
      <c r="K88" s="4"/>
      <c r="L88" s="4"/>
      <c r="M88" s="4"/>
      <c r="N88" s="4"/>
      <c r="O88" s="4"/>
    </row>
    <row r="89" spans="1:15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</row>
    <row r="90" spans="1:15" x14ac:dyDescent="0.3">
      <c r="A90" s="4" t="s">
        <v>89</v>
      </c>
      <c r="B90" s="4" t="s">
        <v>48</v>
      </c>
      <c r="C90" s="4" t="s">
        <v>43</v>
      </c>
      <c r="D90" s="4">
        <v>3550272</v>
      </c>
      <c r="E90" s="4">
        <v>12211</v>
      </c>
      <c r="F90" s="4" t="s">
        <v>1433</v>
      </c>
      <c r="G90" s="4">
        <v>12211</v>
      </c>
      <c r="H90" s="4">
        <v>0</v>
      </c>
      <c r="I90" s="4">
        <v>0</v>
      </c>
      <c r="J90" s="4"/>
      <c r="K90" s="4"/>
      <c r="L90" s="4"/>
      <c r="M90" s="4"/>
      <c r="N90" s="4"/>
      <c r="O90" s="4"/>
    </row>
    <row r="91" spans="1:15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</row>
    <row r="92" spans="1:15" x14ac:dyDescent="0.3">
      <c r="A92" s="4" t="s">
        <v>90</v>
      </c>
      <c r="B92" s="4" t="s">
        <v>49</v>
      </c>
      <c r="C92" s="4" t="s">
        <v>43</v>
      </c>
      <c r="D92" s="4">
        <v>4134708</v>
      </c>
      <c r="E92" s="4">
        <v>9921</v>
      </c>
      <c r="F92" s="4" t="s">
        <v>1433</v>
      </c>
      <c r="G92" s="4">
        <v>9921</v>
      </c>
      <c r="H92" s="4">
        <v>0</v>
      </c>
      <c r="I92" s="4">
        <v>0</v>
      </c>
      <c r="J92" s="4"/>
      <c r="K92" s="4"/>
      <c r="L92" s="4"/>
      <c r="M92" s="4"/>
      <c r="N92" s="4"/>
      <c r="O92" s="4"/>
    </row>
    <row r="93" spans="1:15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</row>
    <row r="94" spans="1:15" x14ac:dyDescent="0.3">
      <c r="A94" s="4" t="s">
        <v>91</v>
      </c>
      <c r="B94" s="4" t="s">
        <v>47</v>
      </c>
      <c r="C94" s="4" t="s">
        <v>43</v>
      </c>
      <c r="D94" s="4">
        <v>4158840</v>
      </c>
      <c r="E94" s="4">
        <v>1053</v>
      </c>
      <c r="F94" s="4" t="s">
        <v>1433</v>
      </c>
      <c r="G94" s="4">
        <v>1053</v>
      </c>
      <c r="H94" s="4">
        <v>0</v>
      </c>
      <c r="I94" s="4">
        <v>0</v>
      </c>
      <c r="J94" s="4"/>
      <c r="K94" s="4"/>
      <c r="L94" s="4"/>
      <c r="M94" s="4"/>
      <c r="N94" s="4"/>
      <c r="O94" s="4"/>
    </row>
    <row r="95" spans="1:15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</row>
    <row r="96" spans="1:15" x14ac:dyDescent="0.3">
      <c r="A96" s="4" t="s">
        <v>92</v>
      </c>
      <c r="B96" s="4" t="s">
        <v>49</v>
      </c>
      <c r="C96" s="4" t="s">
        <v>43</v>
      </c>
      <c r="D96" s="4">
        <v>4253976</v>
      </c>
      <c r="E96" s="4">
        <v>5437</v>
      </c>
      <c r="F96" s="4" t="s">
        <v>1433</v>
      </c>
      <c r="G96" s="4">
        <v>5437</v>
      </c>
      <c r="H96" s="4">
        <v>0</v>
      </c>
      <c r="I96" s="4">
        <v>0</v>
      </c>
      <c r="J96" s="4"/>
      <c r="K96" s="4"/>
      <c r="L96" s="4"/>
      <c r="M96" s="4"/>
      <c r="N96" s="4"/>
      <c r="O96" s="4"/>
    </row>
    <row r="97" spans="1:15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</row>
    <row r="98" spans="1:15" x14ac:dyDescent="0.3">
      <c r="A98" s="4" t="s">
        <v>93</v>
      </c>
      <c r="B98" s="4" t="s">
        <v>49</v>
      </c>
      <c r="C98" s="4" t="s">
        <v>43</v>
      </c>
      <c r="D98" s="4">
        <v>4292082</v>
      </c>
      <c r="E98" s="4">
        <v>514</v>
      </c>
      <c r="F98" s="4" t="s">
        <v>1433</v>
      </c>
      <c r="G98" s="4">
        <v>514</v>
      </c>
      <c r="H98" s="4">
        <v>0</v>
      </c>
      <c r="I98" s="4">
        <v>0</v>
      </c>
      <c r="J98" s="4"/>
      <c r="K98" s="4"/>
      <c r="L98" s="4"/>
      <c r="M98" s="4"/>
      <c r="N98" s="4"/>
      <c r="O98" s="4"/>
    </row>
    <row r="99" spans="1:15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</row>
    <row r="100" spans="1:15" x14ac:dyDescent="0.3">
      <c r="A100" s="4" t="s">
        <v>94</v>
      </c>
      <c r="B100" s="4" t="s">
        <v>49</v>
      </c>
      <c r="C100" s="4" t="s">
        <v>43</v>
      </c>
      <c r="D100" s="4">
        <v>4449732</v>
      </c>
      <c r="E100" s="4">
        <v>1993</v>
      </c>
      <c r="F100" s="4" t="s">
        <v>1433</v>
      </c>
      <c r="G100" s="4">
        <v>1993</v>
      </c>
      <c r="H100" s="4">
        <v>0</v>
      </c>
      <c r="I100" s="4">
        <v>0</v>
      </c>
      <c r="J100" s="4"/>
      <c r="K100" s="4"/>
      <c r="L100" s="4"/>
      <c r="M100" s="4"/>
      <c r="N100" s="4"/>
      <c r="O100" s="4"/>
    </row>
    <row r="101" spans="1:15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1:15" x14ac:dyDescent="0.3">
      <c r="A102" s="4" t="s">
        <v>95</v>
      </c>
      <c r="B102" s="4" t="s">
        <v>47</v>
      </c>
      <c r="C102" s="4" t="s">
        <v>43</v>
      </c>
      <c r="D102" s="4">
        <v>5027838</v>
      </c>
      <c r="E102" s="4">
        <v>6553</v>
      </c>
      <c r="F102" s="4" t="s">
        <v>1433</v>
      </c>
      <c r="G102" s="4">
        <v>6553</v>
      </c>
      <c r="H102" s="4">
        <v>0</v>
      </c>
      <c r="I102" s="4">
        <v>0</v>
      </c>
      <c r="J102" s="4"/>
      <c r="K102" s="4"/>
      <c r="L102" s="4"/>
      <c r="M102" s="4"/>
      <c r="N102" s="4"/>
      <c r="O102" s="4"/>
    </row>
    <row r="103" spans="1:15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1:15" x14ac:dyDescent="0.3">
      <c r="A104" s="4" t="s">
        <v>96</v>
      </c>
      <c r="B104" s="4" t="s">
        <v>47</v>
      </c>
      <c r="C104" s="4" t="s">
        <v>43</v>
      </c>
      <c r="D104" s="4">
        <v>5754180</v>
      </c>
      <c r="E104" s="4">
        <v>61652</v>
      </c>
      <c r="F104" s="4" t="s">
        <v>1433</v>
      </c>
      <c r="G104" s="4">
        <v>61652</v>
      </c>
      <c r="H104" s="4">
        <v>0</v>
      </c>
      <c r="I104" s="4">
        <v>0</v>
      </c>
      <c r="J104" s="4"/>
      <c r="K104" s="4"/>
      <c r="L104" s="4"/>
      <c r="M104" s="4"/>
      <c r="N104" s="4"/>
      <c r="O104" s="4"/>
    </row>
    <row r="105" spans="1:15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5" x14ac:dyDescent="0.3">
      <c r="A106" s="4" t="s">
        <v>97</v>
      </c>
      <c r="B106" s="4" t="s">
        <v>48</v>
      </c>
      <c r="C106" s="4" t="s">
        <v>43</v>
      </c>
      <c r="D106" s="4">
        <v>5864316</v>
      </c>
      <c r="E106" s="4">
        <v>2272</v>
      </c>
      <c r="F106" s="4" t="s">
        <v>1433</v>
      </c>
      <c r="G106" s="4">
        <v>2272</v>
      </c>
      <c r="H106" s="4">
        <v>0</v>
      </c>
      <c r="I106" s="4">
        <v>0</v>
      </c>
      <c r="J106" s="4"/>
      <c r="K106" s="4"/>
      <c r="L106" s="4"/>
      <c r="M106" s="4"/>
      <c r="N106" s="4"/>
      <c r="O106" s="4"/>
    </row>
    <row r="107" spans="1:15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1:15" x14ac:dyDescent="0.3">
      <c r="A108" s="4" t="s">
        <v>98</v>
      </c>
      <c r="B108" s="4" t="s">
        <v>49</v>
      </c>
      <c r="C108" s="4" t="s">
        <v>43</v>
      </c>
      <c r="D108" s="4">
        <v>5943378</v>
      </c>
      <c r="E108" s="4">
        <v>105</v>
      </c>
      <c r="F108" s="4" t="s">
        <v>1433</v>
      </c>
      <c r="G108" s="4">
        <v>105</v>
      </c>
      <c r="H108" s="4">
        <v>0</v>
      </c>
      <c r="I108" s="4">
        <v>0</v>
      </c>
      <c r="J108" s="4"/>
      <c r="K108" s="4"/>
      <c r="L108" s="4"/>
      <c r="M108" s="4"/>
      <c r="N108" s="4"/>
      <c r="O108" s="4"/>
    </row>
    <row r="109" spans="1:1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1:15" x14ac:dyDescent="0.3">
      <c r="A110" s="4" t="s">
        <v>99</v>
      </c>
      <c r="B110" s="4" t="s">
        <v>49</v>
      </c>
      <c r="C110" s="4" t="s">
        <v>43</v>
      </c>
      <c r="D110" s="4" t="e">
        <v>#VALUE!</v>
      </c>
      <c r="E110" s="4">
        <v>105</v>
      </c>
      <c r="F110" s="4" t="s">
        <v>1433</v>
      </c>
      <c r="G110" s="4">
        <v>105</v>
      </c>
      <c r="H110" s="4">
        <v>0</v>
      </c>
      <c r="I110" s="4">
        <v>0</v>
      </c>
      <c r="J110" s="4"/>
      <c r="K110" s="4"/>
      <c r="L110" s="4"/>
      <c r="M110" s="4"/>
      <c r="N110" s="4"/>
      <c r="O110" s="4"/>
    </row>
    <row r="111" spans="1:1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1:15" x14ac:dyDescent="0.3">
      <c r="A112" s="4" t="s">
        <v>100</v>
      </c>
      <c r="B112" s="4" t="s">
        <v>47</v>
      </c>
      <c r="C112" s="4" t="s">
        <v>43</v>
      </c>
      <c r="D112" s="4" t="e">
        <v>#VALUE!</v>
      </c>
      <c r="E112" s="4">
        <v>12113</v>
      </c>
      <c r="F112" s="4" t="s">
        <v>1433</v>
      </c>
      <c r="G112" s="4">
        <v>12113</v>
      </c>
      <c r="H112" s="4">
        <v>0</v>
      </c>
      <c r="I112" s="4">
        <v>0</v>
      </c>
      <c r="J112" s="4"/>
      <c r="K112" s="4"/>
      <c r="L112" s="4"/>
      <c r="M112" s="4"/>
      <c r="N112" s="4"/>
      <c r="O112" s="4"/>
    </row>
    <row r="113" spans="1:1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1:15" x14ac:dyDescent="0.3">
      <c r="A114" s="4" t="s">
        <v>101</v>
      </c>
      <c r="B114" s="4" t="s">
        <v>47</v>
      </c>
      <c r="C114" s="4" t="s">
        <v>43</v>
      </c>
      <c r="D114" s="4" t="e">
        <v>#VALUE!</v>
      </c>
      <c r="E114" s="4">
        <v>22503</v>
      </c>
      <c r="F114" s="4" t="s">
        <v>1433</v>
      </c>
      <c r="G114" s="4">
        <v>22503</v>
      </c>
      <c r="H114" s="4">
        <v>0</v>
      </c>
      <c r="I114" s="4">
        <v>0</v>
      </c>
      <c r="J114" s="4"/>
      <c r="K114" s="4"/>
      <c r="L114" s="4"/>
      <c r="M114" s="4"/>
      <c r="N114" s="4"/>
      <c r="O114" s="4"/>
    </row>
    <row r="115" spans="1:1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1:15" x14ac:dyDescent="0.3">
      <c r="A116" s="4" t="s">
        <v>102</v>
      </c>
      <c r="B116" s="4" t="s">
        <v>49</v>
      </c>
      <c r="C116" s="4" t="s">
        <v>12</v>
      </c>
      <c r="D116" s="4">
        <v>601680</v>
      </c>
      <c r="E116" s="4">
        <v>8</v>
      </c>
      <c r="F116" s="4" t="s">
        <v>1433</v>
      </c>
      <c r="G116" s="4">
        <v>8</v>
      </c>
      <c r="H116" s="4">
        <v>0</v>
      </c>
      <c r="I116" s="4">
        <v>0</v>
      </c>
      <c r="J116" s="4"/>
      <c r="K116" s="4"/>
      <c r="L116" s="4"/>
      <c r="M116" s="4"/>
      <c r="N116" s="4"/>
      <c r="O116" s="4"/>
    </row>
    <row r="117" spans="1:1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1:15" x14ac:dyDescent="0.3">
      <c r="A118" s="4" t="s">
        <v>103</v>
      </c>
      <c r="B118" s="4" t="s">
        <v>49</v>
      </c>
      <c r="C118" s="4" t="s">
        <v>12</v>
      </c>
      <c r="D118" s="4">
        <v>603150</v>
      </c>
      <c r="E118" s="4">
        <v>22</v>
      </c>
      <c r="F118" s="4" t="s">
        <v>1433</v>
      </c>
      <c r="G118" s="4">
        <v>22</v>
      </c>
      <c r="H118" s="4">
        <v>0</v>
      </c>
      <c r="I118" s="4">
        <v>0</v>
      </c>
      <c r="J118" s="4"/>
      <c r="K118" s="4"/>
      <c r="L118" s="4"/>
      <c r="M118" s="4"/>
      <c r="N118" s="4"/>
      <c r="O118" s="4"/>
    </row>
    <row r="119" spans="1:1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1:15" x14ac:dyDescent="0.3">
      <c r="A120" s="4" t="s">
        <v>104</v>
      </c>
      <c r="B120" s="4" t="s">
        <v>49</v>
      </c>
      <c r="C120" s="4" t="s">
        <v>12</v>
      </c>
      <c r="D120" s="4">
        <v>603156</v>
      </c>
      <c r="E120" s="4">
        <v>29</v>
      </c>
      <c r="F120" s="4" t="s">
        <v>1433</v>
      </c>
      <c r="G120" s="4">
        <v>29</v>
      </c>
      <c r="H120" s="4">
        <v>0</v>
      </c>
      <c r="I120" s="4">
        <v>0</v>
      </c>
      <c r="J120" s="4"/>
      <c r="K120" s="4"/>
      <c r="L120" s="4"/>
      <c r="M120" s="4"/>
      <c r="N120" s="4"/>
      <c r="O120" s="4"/>
    </row>
    <row r="121" spans="1:1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x14ac:dyDescent="0.3">
      <c r="A122" s="4" t="s">
        <v>105</v>
      </c>
      <c r="B122" s="4" t="s">
        <v>49</v>
      </c>
      <c r="C122" s="4" t="s">
        <v>12</v>
      </c>
      <c r="D122" s="4">
        <v>603426</v>
      </c>
      <c r="E122" s="4">
        <v>99</v>
      </c>
      <c r="F122" s="4" t="s">
        <v>1433</v>
      </c>
      <c r="G122" s="4">
        <v>99</v>
      </c>
      <c r="H122" s="4">
        <v>0</v>
      </c>
      <c r="I122" s="4">
        <v>0</v>
      </c>
      <c r="J122" s="4"/>
      <c r="K122" s="4"/>
      <c r="L122" s="4"/>
      <c r="M122" s="4"/>
      <c r="N122" s="4"/>
      <c r="O122" s="4"/>
    </row>
    <row r="123" spans="1:1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x14ac:dyDescent="0.3">
      <c r="A124" s="4" t="s">
        <v>106</v>
      </c>
      <c r="B124" s="4" t="s">
        <v>49</v>
      </c>
      <c r="C124" s="4" t="s">
        <v>12</v>
      </c>
      <c r="D124" s="4">
        <v>603936</v>
      </c>
      <c r="E124" s="4">
        <v>14</v>
      </c>
      <c r="F124" s="4" t="s">
        <v>1433</v>
      </c>
      <c r="G124" s="4">
        <v>14</v>
      </c>
      <c r="H124" s="4">
        <v>0</v>
      </c>
      <c r="I124" s="4">
        <v>0</v>
      </c>
      <c r="J124" s="4"/>
      <c r="K124" s="4"/>
      <c r="L124" s="4"/>
      <c r="M124" s="4"/>
      <c r="N124" s="4"/>
      <c r="O124" s="4"/>
    </row>
    <row r="125" spans="1:1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1:15" x14ac:dyDescent="0.3">
      <c r="A126" s="4" t="s">
        <v>107</v>
      </c>
      <c r="B126" s="4" t="s">
        <v>49</v>
      </c>
      <c r="C126" s="4" t="s">
        <v>12</v>
      </c>
      <c r="D126" s="4">
        <v>604020</v>
      </c>
      <c r="E126" s="4">
        <v>24</v>
      </c>
      <c r="F126" s="4" t="s">
        <v>1433</v>
      </c>
      <c r="G126" s="4">
        <v>24</v>
      </c>
      <c r="H126" s="4">
        <v>0</v>
      </c>
      <c r="I126" s="4">
        <v>0</v>
      </c>
      <c r="J126" s="4"/>
      <c r="K126" s="4"/>
      <c r="L126" s="4"/>
      <c r="M126" s="4"/>
      <c r="N126" s="4"/>
      <c r="O126" s="4"/>
    </row>
    <row r="127" spans="1:1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1:15" x14ac:dyDescent="0.3">
      <c r="A128" s="4" t="s">
        <v>108</v>
      </c>
      <c r="B128" s="4" t="s">
        <v>49</v>
      </c>
      <c r="C128" s="4" t="s">
        <v>12</v>
      </c>
      <c r="D128" s="4">
        <v>604434</v>
      </c>
      <c r="E128" s="4">
        <v>26</v>
      </c>
      <c r="F128" s="4" t="s">
        <v>1433</v>
      </c>
      <c r="G128" s="4">
        <v>26</v>
      </c>
      <c r="H128" s="4">
        <v>0</v>
      </c>
      <c r="I128" s="4">
        <v>0</v>
      </c>
      <c r="J128" s="4"/>
      <c r="K128" s="4"/>
      <c r="L128" s="4"/>
      <c r="M128" s="4"/>
      <c r="N128" s="4"/>
      <c r="O128" s="4"/>
    </row>
    <row r="129" spans="1:1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1:15" x14ac:dyDescent="0.3">
      <c r="A130" s="4" t="s">
        <v>109</v>
      </c>
      <c r="B130" s="4" t="s">
        <v>49</v>
      </c>
      <c r="C130" s="4" t="s">
        <v>12</v>
      </c>
      <c r="D130" s="4">
        <v>604776</v>
      </c>
      <c r="E130" s="4">
        <v>327</v>
      </c>
      <c r="F130" s="4" t="s">
        <v>1433</v>
      </c>
      <c r="G130" s="4">
        <v>327</v>
      </c>
      <c r="H130" s="4">
        <v>0</v>
      </c>
      <c r="I130" s="4">
        <v>0</v>
      </c>
      <c r="J130" s="4"/>
      <c r="K130" s="4"/>
      <c r="L130" s="4"/>
      <c r="M130" s="4"/>
      <c r="N130" s="4"/>
      <c r="O130" s="4"/>
    </row>
    <row r="131" spans="1:1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x14ac:dyDescent="0.3">
      <c r="A132" s="4" t="s">
        <v>110</v>
      </c>
      <c r="B132" s="4" t="s">
        <v>49</v>
      </c>
      <c r="C132" s="4" t="s">
        <v>12</v>
      </c>
      <c r="D132" s="4">
        <v>605370</v>
      </c>
      <c r="E132" s="4">
        <v>11</v>
      </c>
      <c r="F132" s="4" t="s">
        <v>1433</v>
      </c>
      <c r="G132" s="4">
        <v>11</v>
      </c>
      <c r="H132" s="4">
        <v>0</v>
      </c>
      <c r="I132" s="4">
        <v>0</v>
      </c>
      <c r="J132" s="4"/>
      <c r="K132" s="4"/>
      <c r="L132" s="4"/>
      <c r="M132" s="4"/>
      <c r="N132" s="4"/>
      <c r="O132" s="4"/>
    </row>
    <row r="133" spans="1:1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1:15" x14ac:dyDescent="0.3">
      <c r="A134" s="4" t="s">
        <v>111</v>
      </c>
      <c r="B134" s="4" t="s">
        <v>49</v>
      </c>
      <c r="C134" s="4" t="s">
        <v>12</v>
      </c>
      <c r="D134" s="4">
        <v>605562</v>
      </c>
      <c r="E134" s="4">
        <v>24</v>
      </c>
      <c r="F134" s="4" t="s">
        <v>1433</v>
      </c>
      <c r="G134" s="4">
        <v>24</v>
      </c>
      <c r="H134" s="4">
        <v>0</v>
      </c>
      <c r="I134" s="4">
        <v>0</v>
      </c>
      <c r="J134" s="4"/>
      <c r="K134" s="4"/>
      <c r="L134" s="4"/>
      <c r="M134" s="4"/>
      <c r="N134" s="4"/>
      <c r="O134" s="4"/>
    </row>
    <row r="135" spans="1:1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x14ac:dyDescent="0.3">
      <c r="A136" s="4" t="s">
        <v>112</v>
      </c>
      <c r="B136" s="4" t="s">
        <v>49</v>
      </c>
      <c r="C136" s="4" t="s">
        <v>12</v>
      </c>
      <c r="D136" s="4">
        <v>710646</v>
      </c>
      <c r="E136" s="4">
        <v>21</v>
      </c>
      <c r="F136" s="4" t="s">
        <v>1433</v>
      </c>
      <c r="G136" s="4">
        <v>21</v>
      </c>
      <c r="H136" s="4">
        <v>0</v>
      </c>
      <c r="I136" s="4">
        <v>0</v>
      </c>
      <c r="J136" s="4"/>
      <c r="K136" s="4"/>
      <c r="L136" s="4"/>
      <c r="M136" s="4"/>
      <c r="N136" s="4"/>
      <c r="O136" s="4"/>
    </row>
    <row r="137" spans="1:1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1:15" x14ac:dyDescent="0.3">
      <c r="A138" s="4" t="s">
        <v>113</v>
      </c>
      <c r="B138" s="4" t="s">
        <v>49</v>
      </c>
      <c r="C138" s="4" t="s">
        <v>12</v>
      </c>
      <c r="D138" s="4">
        <v>712662</v>
      </c>
      <c r="E138" s="4">
        <v>11</v>
      </c>
      <c r="F138" s="4" t="s">
        <v>1433</v>
      </c>
      <c r="G138" s="4">
        <v>11</v>
      </c>
      <c r="H138" s="4">
        <v>0</v>
      </c>
      <c r="I138" s="4">
        <v>0</v>
      </c>
      <c r="J138" s="4"/>
      <c r="K138" s="4"/>
      <c r="L138" s="4"/>
      <c r="M138" s="4"/>
      <c r="N138" s="4"/>
      <c r="O138" s="4"/>
    </row>
    <row r="139" spans="1:1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1:15" x14ac:dyDescent="0.3">
      <c r="A140" s="4" t="s">
        <v>114</v>
      </c>
      <c r="B140" s="4" t="s">
        <v>49</v>
      </c>
      <c r="C140" s="4" t="s">
        <v>12</v>
      </c>
      <c r="D140" s="4">
        <v>713412</v>
      </c>
      <c r="E140" s="4">
        <v>48</v>
      </c>
      <c r="F140" s="4" t="s">
        <v>1433</v>
      </c>
      <c r="G140" s="4">
        <v>48</v>
      </c>
      <c r="H140" s="4">
        <v>0</v>
      </c>
      <c r="I140" s="4">
        <v>0</v>
      </c>
      <c r="J140" s="4"/>
      <c r="K140" s="4"/>
      <c r="L140" s="4"/>
      <c r="M140" s="4"/>
      <c r="N140" s="4"/>
      <c r="O140" s="4"/>
    </row>
    <row r="141" spans="1:1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1:15" x14ac:dyDescent="0.3">
      <c r="A142" s="4" t="s">
        <v>115</v>
      </c>
      <c r="B142" s="4" t="s">
        <v>49</v>
      </c>
      <c r="C142" s="4" t="s">
        <v>12</v>
      </c>
      <c r="D142" s="4">
        <v>1003032</v>
      </c>
      <c r="E142" s="4">
        <v>41</v>
      </c>
      <c r="F142" s="4" t="s">
        <v>1433</v>
      </c>
      <c r="G142" s="4">
        <v>41</v>
      </c>
      <c r="H142" s="4">
        <v>0</v>
      </c>
      <c r="I142" s="4">
        <v>0</v>
      </c>
      <c r="J142" s="4"/>
      <c r="K142" s="4"/>
      <c r="L142" s="4"/>
      <c r="M142" s="4"/>
      <c r="N142" s="4"/>
      <c r="O142" s="4"/>
    </row>
    <row r="143" spans="1:1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1:15" x14ac:dyDescent="0.3">
      <c r="A144" s="4" t="s">
        <v>116</v>
      </c>
      <c r="B144" s="4" t="s">
        <v>49</v>
      </c>
      <c r="C144" s="4" t="s">
        <v>12</v>
      </c>
      <c r="D144" s="4">
        <v>1212024</v>
      </c>
      <c r="E144" s="4">
        <v>15</v>
      </c>
      <c r="F144" s="4" t="s">
        <v>1433</v>
      </c>
      <c r="G144" s="4">
        <v>15</v>
      </c>
      <c r="H144" s="4">
        <v>0</v>
      </c>
      <c r="I144" s="4">
        <v>0</v>
      </c>
      <c r="J144" s="4"/>
      <c r="K144" s="4"/>
      <c r="L144" s="4"/>
      <c r="M144" s="4"/>
      <c r="N144" s="4"/>
      <c r="O144" s="4"/>
    </row>
    <row r="145" spans="1:1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1:15" x14ac:dyDescent="0.3">
      <c r="A146" s="4" t="s">
        <v>117</v>
      </c>
      <c r="B146" s="4" t="s">
        <v>49</v>
      </c>
      <c r="C146" s="4" t="s">
        <v>12</v>
      </c>
      <c r="D146" s="4">
        <v>1228404</v>
      </c>
      <c r="E146" s="4">
        <v>20</v>
      </c>
      <c r="F146" s="4" t="s">
        <v>1433</v>
      </c>
      <c r="G146" s="4">
        <v>20</v>
      </c>
      <c r="H146" s="4">
        <v>0</v>
      </c>
      <c r="I146" s="4">
        <v>0</v>
      </c>
      <c r="J146" s="4"/>
      <c r="K146" s="4"/>
      <c r="L146" s="4"/>
      <c r="M146" s="4"/>
      <c r="N146" s="4"/>
      <c r="O146" s="4"/>
    </row>
    <row r="147" spans="1:1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x14ac:dyDescent="0.3">
      <c r="A148" s="4" t="s">
        <v>118</v>
      </c>
      <c r="B148" s="4" t="s">
        <v>49</v>
      </c>
      <c r="C148" s="4" t="s">
        <v>12</v>
      </c>
      <c r="D148" s="4">
        <v>1230834</v>
      </c>
      <c r="E148" s="4">
        <v>12</v>
      </c>
      <c r="F148" s="4" t="s">
        <v>1433</v>
      </c>
      <c r="G148" s="4">
        <v>12</v>
      </c>
      <c r="H148" s="4">
        <v>0</v>
      </c>
      <c r="I148" s="4">
        <v>0</v>
      </c>
      <c r="J148" s="4"/>
      <c r="K148" s="4"/>
      <c r="L148" s="4"/>
      <c r="M148" s="4"/>
      <c r="N148" s="4"/>
      <c r="O148" s="4"/>
    </row>
    <row r="149" spans="1:1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1:15" x14ac:dyDescent="0.3">
      <c r="A150" s="4" t="s">
        <v>119</v>
      </c>
      <c r="B150" s="4" t="s">
        <v>49</v>
      </c>
      <c r="C150" s="4" t="s">
        <v>12</v>
      </c>
      <c r="D150" s="4">
        <v>1234596</v>
      </c>
      <c r="E150" s="4">
        <v>13</v>
      </c>
      <c r="F150" s="4" t="s">
        <v>1433</v>
      </c>
      <c r="G150" s="4">
        <v>13</v>
      </c>
      <c r="H150" s="4">
        <v>0</v>
      </c>
      <c r="I150" s="4">
        <v>0</v>
      </c>
      <c r="J150" s="4"/>
      <c r="K150" s="4"/>
      <c r="L150" s="4"/>
      <c r="M150" s="4"/>
      <c r="N150" s="4"/>
      <c r="O150" s="4"/>
    </row>
    <row r="151" spans="1:1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x14ac:dyDescent="0.3">
      <c r="A152" s="4" t="s">
        <v>120</v>
      </c>
      <c r="B152" s="4" t="s">
        <v>49</v>
      </c>
      <c r="C152" s="4" t="s">
        <v>12</v>
      </c>
      <c r="D152" s="4">
        <v>1252086</v>
      </c>
      <c r="E152" s="4">
        <v>14</v>
      </c>
      <c r="F152" s="4" t="s">
        <v>1433</v>
      </c>
      <c r="G152" s="4">
        <v>14</v>
      </c>
      <c r="H152" s="4">
        <v>0</v>
      </c>
      <c r="I152" s="4">
        <v>0</v>
      </c>
      <c r="J152" s="4"/>
      <c r="K152" s="4"/>
      <c r="L152" s="4"/>
      <c r="M152" s="4"/>
      <c r="N152" s="4"/>
      <c r="O152" s="4"/>
    </row>
    <row r="153" spans="1:1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1:15" x14ac:dyDescent="0.3">
      <c r="A154" s="4" t="s">
        <v>121</v>
      </c>
      <c r="B154" s="4" t="s">
        <v>49</v>
      </c>
      <c r="C154" s="4" t="s">
        <v>12</v>
      </c>
      <c r="D154" s="4">
        <v>1256406</v>
      </c>
      <c r="E154" s="4">
        <v>32</v>
      </c>
      <c r="F154" s="4" t="s">
        <v>1433</v>
      </c>
      <c r="G154" s="4">
        <v>32</v>
      </c>
      <c r="H154" s="4">
        <v>0</v>
      </c>
      <c r="I154" s="4">
        <v>0</v>
      </c>
      <c r="J154" s="4"/>
      <c r="K154" s="4"/>
      <c r="L154" s="4"/>
      <c r="M154" s="4"/>
      <c r="N154" s="4"/>
      <c r="O154" s="4"/>
    </row>
    <row r="155" spans="1:1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1:15" x14ac:dyDescent="0.3">
      <c r="A156" s="4" t="s">
        <v>122</v>
      </c>
      <c r="B156" s="4" t="s">
        <v>49</v>
      </c>
      <c r="C156" s="4" t="s">
        <v>12</v>
      </c>
      <c r="D156" s="4">
        <v>1261248</v>
      </c>
      <c r="E156" s="4">
        <v>148</v>
      </c>
      <c r="F156" s="4" t="s">
        <v>1433</v>
      </c>
      <c r="G156" s="4">
        <v>148</v>
      </c>
      <c r="H156" s="4">
        <v>0</v>
      </c>
      <c r="I156" s="4">
        <v>0</v>
      </c>
      <c r="J156" s="4"/>
      <c r="K156" s="4"/>
      <c r="L156" s="4"/>
      <c r="M156" s="4"/>
      <c r="N156" s="4"/>
      <c r="O156" s="4"/>
    </row>
    <row r="157" spans="1:1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  <row r="158" spans="1:15" x14ac:dyDescent="0.3">
      <c r="A158" s="4" t="s">
        <v>123</v>
      </c>
      <c r="B158" s="4" t="s">
        <v>49</v>
      </c>
      <c r="C158" s="4" t="s">
        <v>12</v>
      </c>
      <c r="D158" s="4">
        <v>1262976</v>
      </c>
      <c r="E158" s="4">
        <v>70</v>
      </c>
      <c r="F158" s="4" t="s">
        <v>1433</v>
      </c>
      <c r="G158" s="4">
        <v>70</v>
      </c>
      <c r="H158" s="4">
        <v>0</v>
      </c>
      <c r="I158" s="4">
        <v>0</v>
      </c>
      <c r="J158" s="4"/>
      <c r="K158" s="4"/>
      <c r="L158" s="4"/>
      <c r="M158" s="4"/>
      <c r="N158" s="4"/>
      <c r="O158" s="4"/>
    </row>
    <row r="159" spans="1:1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</row>
    <row r="160" spans="1:15" x14ac:dyDescent="0.3">
      <c r="A160" s="4" t="s">
        <v>124</v>
      </c>
      <c r="B160" s="4" t="s">
        <v>49</v>
      </c>
      <c r="C160" s="4" t="s">
        <v>12</v>
      </c>
      <c r="D160" s="4">
        <v>1264272</v>
      </c>
      <c r="E160" s="4">
        <v>23</v>
      </c>
      <c r="F160" s="4" t="s">
        <v>1433</v>
      </c>
      <c r="G160" s="4">
        <v>23</v>
      </c>
      <c r="H160" s="4">
        <v>0</v>
      </c>
      <c r="I160" s="4">
        <v>0</v>
      </c>
      <c r="J160" s="4"/>
      <c r="K160" s="4"/>
      <c r="L160" s="4"/>
      <c r="M160" s="4"/>
      <c r="N160" s="4"/>
      <c r="O160" s="4"/>
    </row>
    <row r="161" spans="1:1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x14ac:dyDescent="0.3">
      <c r="A162" s="4" t="s">
        <v>125</v>
      </c>
      <c r="B162" s="4" t="s">
        <v>49</v>
      </c>
      <c r="C162" s="4" t="s">
        <v>12</v>
      </c>
      <c r="D162" s="4">
        <v>1266342</v>
      </c>
      <c r="E162" s="4">
        <v>19</v>
      </c>
      <c r="F162" s="4" t="s">
        <v>1433</v>
      </c>
      <c r="G162" s="4">
        <v>19</v>
      </c>
      <c r="H162" s="4">
        <v>0</v>
      </c>
      <c r="I162" s="4">
        <v>0</v>
      </c>
      <c r="J162" s="4"/>
      <c r="K162" s="4"/>
      <c r="L162" s="4"/>
      <c r="M162" s="4"/>
      <c r="N162" s="4"/>
      <c r="O162" s="4"/>
    </row>
    <row r="163" spans="1:1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x14ac:dyDescent="0.3">
      <c r="A164" s="4" t="s">
        <v>126</v>
      </c>
      <c r="B164" s="4" t="s">
        <v>49</v>
      </c>
      <c r="C164" s="4" t="s">
        <v>12</v>
      </c>
      <c r="D164" s="4">
        <v>1274262</v>
      </c>
      <c r="E164" s="4">
        <v>27</v>
      </c>
      <c r="F164" s="4" t="s">
        <v>1433</v>
      </c>
      <c r="G164" s="4">
        <v>27</v>
      </c>
      <c r="H164" s="4">
        <v>0</v>
      </c>
      <c r="I164" s="4">
        <v>0</v>
      </c>
      <c r="J164" s="4"/>
      <c r="K164" s="4"/>
      <c r="L164" s="4"/>
      <c r="M164" s="4"/>
      <c r="N164" s="4"/>
      <c r="O164" s="4"/>
    </row>
    <row r="165" spans="1:1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</row>
    <row r="166" spans="1:15" x14ac:dyDescent="0.3">
      <c r="A166" s="4" t="s">
        <v>127</v>
      </c>
      <c r="B166" s="4" t="s">
        <v>49</v>
      </c>
      <c r="C166" s="4" t="s">
        <v>12</v>
      </c>
      <c r="D166" s="4">
        <v>1275978</v>
      </c>
      <c r="E166" s="4">
        <v>16</v>
      </c>
      <c r="F166" s="4" t="s">
        <v>1433</v>
      </c>
      <c r="G166" s="4">
        <v>16</v>
      </c>
      <c r="H166" s="4">
        <v>0</v>
      </c>
      <c r="I166" s="4">
        <v>0</v>
      </c>
      <c r="J166" s="4"/>
      <c r="K166" s="4"/>
      <c r="L166" s="4"/>
      <c r="M166" s="4"/>
      <c r="N166" s="4"/>
      <c r="O166" s="4"/>
    </row>
    <row r="167" spans="1:1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</row>
    <row r="168" spans="1:15" x14ac:dyDescent="0.3">
      <c r="A168" s="4" t="s">
        <v>128</v>
      </c>
      <c r="B168" s="4" t="s">
        <v>49</v>
      </c>
      <c r="C168" s="4" t="s">
        <v>12</v>
      </c>
      <c r="D168" s="4">
        <v>1280730</v>
      </c>
      <c r="E168" s="4">
        <v>22</v>
      </c>
      <c r="F168" s="4" t="s">
        <v>1433</v>
      </c>
      <c r="G168" s="4">
        <v>22</v>
      </c>
      <c r="H168" s="4">
        <v>0</v>
      </c>
      <c r="I168" s="4">
        <v>0</v>
      </c>
      <c r="J168" s="4"/>
      <c r="K168" s="4"/>
      <c r="L168" s="4"/>
      <c r="M168" s="4"/>
      <c r="N168" s="4"/>
      <c r="O168" s="4"/>
    </row>
    <row r="169" spans="1:1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</row>
    <row r="170" spans="1:15" x14ac:dyDescent="0.3">
      <c r="A170" s="4" t="s">
        <v>129</v>
      </c>
      <c r="B170" s="4" t="s">
        <v>49</v>
      </c>
      <c r="C170" s="4" t="s">
        <v>12</v>
      </c>
      <c r="D170" s="4">
        <v>1288590</v>
      </c>
      <c r="E170" s="4">
        <v>4</v>
      </c>
      <c r="F170" s="4" t="s">
        <v>1433</v>
      </c>
      <c r="G170" s="4">
        <v>4</v>
      </c>
      <c r="H170" s="4">
        <v>0</v>
      </c>
      <c r="I170" s="4">
        <v>0</v>
      </c>
      <c r="J170" s="4"/>
      <c r="K170" s="4"/>
      <c r="L170" s="4"/>
      <c r="M170" s="4"/>
      <c r="N170" s="4"/>
      <c r="O170" s="4"/>
    </row>
    <row r="171" spans="1:1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</row>
    <row r="172" spans="1:15" x14ac:dyDescent="0.3">
      <c r="A172" s="4" t="s">
        <v>130</v>
      </c>
      <c r="B172" s="4" t="s">
        <v>49</v>
      </c>
      <c r="C172" s="4" t="s">
        <v>12</v>
      </c>
      <c r="D172" s="4">
        <v>1307064</v>
      </c>
      <c r="E172" s="4">
        <v>18</v>
      </c>
      <c r="F172" s="4" t="s">
        <v>1433</v>
      </c>
      <c r="G172" s="4">
        <v>18</v>
      </c>
      <c r="H172" s="4">
        <v>0</v>
      </c>
      <c r="I172" s="4">
        <v>0</v>
      </c>
      <c r="J172" s="4"/>
      <c r="K172" s="4"/>
      <c r="L172" s="4"/>
      <c r="M172" s="4"/>
      <c r="N172" s="4"/>
      <c r="O172" s="4"/>
    </row>
    <row r="173" spans="1:1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</row>
    <row r="174" spans="1:15" x14ac:dyDescent="0.3">
      <c r="A174" s="4" t="s">
        <v>131</v>
      </c>
      <c r="B174" s="4" t="s">
        <v>49</v>
      </c>
      <c r="C174" s="4" t="s">
        <v>12</v>
      </c>
      <c r="D174" s="4">
        <v>1308714</v>
      </c>
      <c r="E174" s="4">
        <v>18</v>
      </c>
      <c r="F174" s="4" t="s">
        <v>1433</v>
      </c>
      <c r="G174" s="4">
        <v>18</v>
      </c>
      <c r="H174" s="4">
        <v>0</v>
      </c>
      <c r="I174" s="4">
        <v>0</v>
      </c>
      <c r="J174" s="4"/>
      <c r="K174" s="4"/>
      <c r="L174" s="4"/>
      <c r="M174" s="4"/>
      <c r="N174" s="4"/>
      <c r="O174" s="4"/>
    </row>
    <row r="175" spans="1:1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</row>
    <row r="176" spans="1:15" x14ac:dyDescent="0.3">
      <c r="A176" s="4" t="s">
        <v>132</v>
      </c>
      <c r="B176" s="4" t="s">
        <v>49</v>
      </c>
      <c r="C176" s="4" t="s">
        <v>12</v>
      </c>
      <c r="D176" s="4">
        <v>1312050</v>
      </c>
      <c r="E176" s="4">
        <v>19</v>
      </c>
      <c r="F176" s="4" t="s">
        <v>1433</v>
      </c>
      <c r="G176" s="4">
        <v>19</v>
      </c>
      <c r="H176" s="4">
        <v>0</v>
      </c>
      <c r="I176" s="4">
        <v>0</v>
      </c>
      <c r="J176" s="4"/>
      <c r="K176" s="4"/>
      <c r="L176" s="4"/>
      <c r="M176" s="4"/>
      <c r="N176" s="4"/>
      <c r="O176" s="4"/>
    </row>
    <row r="177" spans="1:15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</row>
    <row r="178" spans="1:15" x14ac:dyDescent="0.3">
      <c r="A178" s="4" t="s">
        <v>133</v>
      </c>
      <c r="B178" s="4" t="s">
        <v>49</v>
      </c>
      <c r="C178" s="4" t="s">
        <v>12</v>
      </c>
      <c r="D178" s="4">
        <v>1312908</v>
      </c>
      <c r="E178" s="4">
        <v>15</v>
      </c>
      <c r="F178" s="4" t="s">
        <v>1433</v>
      </c>
      <c r="G178" s="4">
        <v>15</v>
      </c>
      <c r="H178" s="4">
        <v>0</v>
      </c>
      <c r="I178" s="4">
        <v>0</v>
      </c>
      <c r="J178" s="4"/>
      <c r="K178" s="4"/>
      <c r="L178" s="4"/>
      <c r="M178" s="4"/>
      <c r="N178" s="4"/>
      <c r="O178" s="4"/>
    </row>
    <row r="179" spans="1:15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</row>
    <row r="180" spans="1:15" x14ac:dyDescent="0.3">
      <c r="A180" s="4" t="s">
        <v>134</v>
      </c>
      <c r="B180" s="4" t="s">
        <v>49</v>
      </c>
      <c r="C180" s="4" t="s">
        <v>12</v>
      </c>
      <c r="D180" s="4">
        <v>1320318</v>
      </c>
      <c r="E180" s="4">
        <v>23</v>
      </c>
      <c r="F180" s="4" t="s">
        <v>1433</v>
      </c>
      <c r="G180" s="4">
        <v>23</v>
      </c>
      <c r="H180" s="4">
        <v>0</v>
      </c>
      <c r="I180" s="4">
        <v>0</v>
      </c>
      <c r="J180" s="4"/>
      <c r="K180" s="4"/>
      <c r="L180" s="4"/>
      <c r="M180" s="4"/>
      <c r="N180" s="4"/>
      <c r="O180" s="4"/>
    </row>
    <row r="181" spans="1:15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</row>
    <row r="182" spans="1:15" x14ac:dyDescent="0.3">
      <c r="A182" s="4" t="s">
        <v>135</v>
      </c>
      <c r="B182" s="4" t="s">
        <v>49</v>
      </c>
      <c r="C182" s="4" t="s">
        <v>12</v>
      </c>
      <c r="D182" s="4">
        <v>1320378</v>
      </c>
      <c r="E182" s="4">
        <v>602</v>
      </c>
      <c r="F182" s="4" t="s">
        <v>1433</v>
      </c>
      <c r="G182" s="4">
        <v>602</v>
      </c>
      <c r="H182" s="4">
        <v>0</v>
      </c>
      <c r="I182" s="4">
        <v>0</v>
      </c>
      <c r="J182" s="4"/>
      <c r="K182" s="4"/>
      <c r="L182" s="4"/>
      <c r="M182" s="4"/>
      <c r="N182" s="4"/>
      <c r="O182" s="4"/>
    </row>
    <row r="183" spans="1:15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</row>
    <row r="184" spans="1:15" x14ac:dyDescent="0.3">
      <c r="A184" s="4" t="s">
        <v>136</v>
      </c>
      <c r="B184" s="4" t="s">
        <v>49</v>
      </c>
      <c r="C184" s="4" t="s">
        <v>12</v>
      </c>
      <c r="D184" s="4">
        <v>1341384</v>
      </c>
      <c r="E184" s="4">
        <v>87</v>
      </c>
      <c r="F184" s="4" t="s">
        <v>1433</v>
      </c>
      <c r="G184" s="4">
        <v>87</v>
      </c>
      <c r="H184" s="4">
        <v>0</v>
      </c>
      <c r="I184" s="4">
        <v>0</v>
      </c>
      <c r="J184" s="4"/>
      <c r="K184" s="4"/>
      <c r="L184" s="4"/>
      <c r="M184" s="4"/>
      <c r="N184" s="4"/>
      <c r="O184" s="4"/>
    </row>
    <row r="185" spans="1:15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</row>
    <row r="186" spans="1:15" x14ac:dyDescent="0.3">
      <c r="A186" s="4" t="s">
        <v>137</v>
      </c>
      <c r="B186" s="4" t="s">
        <v>49</v>
      </c>
      <c r="C186" s="4" t="s">
        <v>12</v>
      </c>
      <c r="D186" s="4">
        <v>1341510</v>
      </c>
      <c r="E186" s="4">
        <v>62</v>
      </c>
      <c r="F186" s="4" t="s">
        <v>1433</v>
      </c>
      <c r="G186" s="4">
        <v>62</v>
      </c>
      <c r="H186" s="4">
        <v>0</v>
      </c>
      <c r="I186" s="4">
        <v>0</v>
      </c>
      <c r="J186" s="4"/>
      <c r="K186" s="4"/>
      <c r="L186" s="4"/>
      <c r="M186" s="4"/>
      <c r="N186" s="4"/>
      <c r="O186" s="4"/>
    </row>
    <row r="187" spans="1:15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</row>
    <row r="188" spans="1:15" x14ac:dyDescent="0.3">
      <c r="A188" s="4" t="s">
        <v>138</v>
      </c>
      <c r="B188" s="4" t="s">
        <v>49</v>
      </c>
      <c r="C188" s="4" t="s">
        <v>12</v>
      </c>
      <c r="D188" s="4">
        <v>1342722</v>
      </c>
      <c r="E188" s="4">
        <v>87</v>
      </c>
      <c r="F188" s="4" t="s">
        <v>1433</v>
      </c>
      <c r="G188" s="4">
        <v>87</v>
      </c>
      <c r="H188" s="4">
        <v>0</v>
      </c>
      <c r="I188" s="4">
        <v>0</v>
      </c>
      <c r="J188" s="4"/>
      <c r="K188" s="4"/>
      <c r="L188" s="4"/>
      <c r="M188" s="4"/>
      <c r="N188" s="4"/>
      <c r="O188" s="4"/>
    </row>
    <row r="189" spans="1:15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</row>
    <row r="190" spans="1:15" x14ac:dyDescent="0.3">
      <c r="A190" s="4" t="s">
        <v>139</v>
      </c>
      <c r="B190" s="4" t="s">
        <v>49</v>
      </c>
      <c r="C190" s="4" t="s">
        <v>12</v>
      </c>
      <c r="D190" s="4">
        <v>1347456</v>
      </c>
      <c r="E190" s="4">
        <v>9</v>
      </c>
      <c r="F190" s="4" t="s">
        <v>1433</v>
      </c>
      <c r="G190" s="4">
        <v>9</v>
      </c>
      <c r="H190" s="4">
        <v>0</v>
      </c>
      <c r="I190" s="4">
        <v>0</v>
      </c>
      <c r="J190" s="4"/>
      <c r="K190" s="4"/>
      <c r="L190" s="4"/>
      <c r="M190" s="4"/>
      <c r="N190" s="4"/>
      <c r="O190" s="4"/>
    </row>
    <row r="191" spans="1:15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</row>
    <row r="192" spans="1:15" x14ac:dyDescent="0.3">
      <c r="A192" s="4" t="s">
        <v>140</v>
      </c>
      <c r="B192" s="4" t="s">
        <v>49</v>
      </c>
      <c r="C192" s="4" t="s">
        <v>12</v>
      </c>
      <c r="D192" s="4">
        <v>1347498</v>
      </c>
      <c r="E192" s="4">
        <v>32</v>
      </c>
      <c r="F192" s="4" t="s">
        <v>1433</v>
      </c>
      <c r="G192" s="4">
        <v>32</v>
      </c>
      <c r="H192" s="4">
        <v>0</v>
      </c>
      <c r="I192" s="4">
        <v>0</v>
      </c>
      <c r="J192" s="4"/>
      <c r="K192" s="4"/>
      <c r="L192" s="4"/>
      <c r="M192" s="4"/>
      <c r="N192" s="4"/>
      <c r="O192" s="4"/>
    </row>
    <row r="193" spans="1:15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</row>
    <row r="194" spans="1:15" x14ac:dyDescent="0.3">
      <c r="A194" s="4" t="s">
        <v>141</v>
      </c>
      <c r="B194" s="4" t="s">
        <v>49</v>
      </c>
      <c r="C194" s="4" t="s">
        <v>12</v>
      </c>
      <c r="D194" s="4">
        <v>1350906</v>
      </c>
      <c r="E194" s="4">
        <v>65</v>
      </c>
      <c r="F194" s="4" t="s">
        <v>1433</v>
      </c>
      <c r="G194" s="4">
        <v>65</v>
      </c>
      <c r="H194" s="4">
        <v>0</v>
      </c>
      <c r="I194" s="4">
        <v>0</v>
      </c>
      <c r="J194" s="4"/>
      <c r="K194" s="4"/>
      <c r="L194" s="4"/>
      <c r="M194" s="4"/>
      <c r="N194" s="4"/>
      <c r="O194" s="4"/>
    </row>
    <row r="195" spans="1:15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</row>
    <row r="196" spans="1:15" x14ac:dyDescent="0.3">
      <c r="A196" s="4" t="s">
        <v>142</v>
      </c>
      <c r="B196" s="4" t="s">
        <v>49</v>
      </c>
      <c r="C196" s="4" t="s">
        <v>12</v>
      </c>
      <c r="D196" s="4">
        <v>1350918</v>
      </c>
      <c r="E196" s="4">
        <v>65</v>
      </c>
      <c r="F196" s="4" t="s">
        <v>1433</v>
      </c>
      <c r="G196" s="4">
        <v>65</v>
      </c>
      <c r="H196" s="4">
        <v>0</v>
      </c>
      <c r="I196" s="4">
        <v>0</v>
      </c>
      <c r="J196" s="4"/>
      <c r="K196" s="4"/>
      <c r="L196" s="4"/>
      <c r="M196" s="4"/>
      <c r="N196" s="4"/>
      <c r="O196" s="4"/>
    </row>
    <row r="197" spans="1:15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</row>
    <row r="198" spans="1:15" x14ac:dyDescent="0.3">
      <c r="A198" s="4" t="s">
        <v>143</v>
      </c>
      <c r="B198" s="4" t="s">
        <v>49</v>
      </c>
      <c r="C198" s="4" t="s">
        <v>12</v>
      </c>
      <c r="D198" s="4">
        <v>1352292</v>
      </c>
      <c r="E198" s="4">
        <v>85</v>
      </c>
      <c r="F198" s="4" t="s">
        <v>1433</v>
      </c>
      <c r="G198" s="4">
        <v>85</v>
      </c>
      <c r="H198" s="4">
        <v>0</v>
      </c>
      <c r="I198" s="4">
        <v>0</v>
      </c>
      <c r="J198" s="4"/>
      <c r="K198" s="4"/>
      <c r="L198" s="4"/>
      <c r="M198" s="4"/>
      <c r="N198" s="4"/>
      <c r="O198" s="4"/>
    </row>
    <row r="199" spans="1:15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</row>
    <row r="200" spans="1:15" x14ac:dyDescent="0.3">
      <c r="A200" s="4" t="s">
        <v>144</v>
      </c>
      <c r="B200" s="4" t="s">
        <v>49</v>
      </c>
      <c r="C200" s="4" t="s">
        <v>12</v>
      </c>
      <c r="D200" s="4">
        <v>1353024</v>
      </c>
      <c r="E200" s="4">
        <v>27</v>
      </c>
      <c r="F200" s="4" t="s">
        <v>1433</v>
      </c>
      <c r="G200" s="4">
        <v>27</v>
      </c>
      <c r="H200" s="4">
        <v>0</v>
      </c>
      <c r="I200" s="4">
        <v>0</v>
      </c>
      <c r="J200" s="4"/>
      <c r="K200" s="4"/>
      <c r="L200" s="4"/>
      <c r="M200" s="4"/>
      <c r="N200" s="4"/>
      <c r="O200" s="4"/>
    </row>
    <row r="201" spans="1:15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</row>
    <row r="202" spans="1:15" x14ac:dyDescent="0.3">
      <c r="A202" s="4" t="s">
        <v>145</v>
      </c>
      <c r="B202" s="4" t="s">
        <v>49</v>
      </c>
      <c r="C202" s="4" t="s">
        <v>12</v>
      </c>
      <c r="D202" s="4">
        <v>1353258</v>
      </c>
      <c r="E202" s="4">
        <v>36</v>
      </c>
      <c r="F202" s="4" t="s">
        <v>1433</v>
      </c>
      <c r="G202" s="4">
        <v>36</v>
      </c>
      <c r="H202" s="4">
        <v>0</v>
      </c>
      <c r="I202" s="4">
        <v>0</v>
      </c>
      <c r="J202" s="4"/>
      <c r="K202" s="4"/>
      <c r="L202" s="4"/>
      <c r="M202" s="4"/>
      <c r="N202" s="4"/>
      <c r="O202" s="4"/>
    </row>
    <row r="203" spans="1:15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</row>
    <row r="204" spans="1:15" x14ac:dyDescent="0.3">
      <c r="A204" s="4" t="s">
        <v>146</v>
      </c>
      <c r="B204" s="4" t="s">
        <v>49</v>
      </c>
      <c r="C204" s="4" t="s">
        <v>12</v>
      </c>
      <c r="D204" s="4">
        <v>1354452</v>
      </c>
      <c r="E204" s="4">
        <v>14</v>
      </c>
      <c r="F204" s="4" t="s">
        <v>1433</v>
      </c>
      <c r="G204" s="4">
        <v>14</v>
      </c>
      <c r="H204" s="4">
        <v>0</v>
      </c>
      <c r="I204" s="4">
        <v>0</v>
      </c>
      <c r="J204" s="4"/>
      <c r="K204" s="4"/>
      <c r="L204" s="4"/>
      <c r="M204" s="4"/>
      <c r="N204" s="4"/>
      <c r="O204" s="4"/>
    </row>
    <row r="205" spans="1:15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</row>
    <row r="206" spans="1:15" x14ac:dyDescent="0.3">
      <c r="A206" s="4" t="s">
        <v>147</v>
      </c>
      <c r="B206" s="4" t="s">
        <v>49</v>
      </c>
      <c r="C206" s="4" t="s">
        <v>12</v>
      </c>
      <c r="D206" s="4">
        <v>1358460</v>
      </c>
      <c r="E206" s="4">
        <v>154</v>
      </c>
      <c r="F206" s="4" t="s">
        <v>1433</v>
      </c>
      <c r="G206" s="4">
        <v>154</v>
      </c>
      <c r="H206" s="4">
        <v>0</v>
      </c>
      <c r="I206" s="4">
        <v>0</v>
      </c>
      <c r="J206" s="4"/>
      <c r="K206" s="4"/>
      <c r="L206" s="4"/>
      <c r="M206" s="4"/>
      <c r="N206" s="4"/>
      <c r="O206" s="4"/>
    </row>
    <row r="207" spans="1:15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</row>
    <row r="208" spans="1:15" x14ac:dyDescent="0.3">
      <c r="A208" s="4" t="s">
        <v>148</v>
      </c>
      <c r="B208" s="4" t="s">
        <v>49</v>
      </c>
      <c r="C208" s="4" t="s">
        <v>12</v>
      </c>
      <c r="D208" s="4">
        <v>1358760</v>
      </c>
      <c r="E208" s="4">
        <v>11</v>
      </c>
      <c r="F208" s="4" t="s">
        <v>1433</v>
      </c>
      <c r="G208" s="4">
        <v>11</v>
      </c>
      <c r="H208" s="4">
        <v>0</v>
      </c>
      <c r="I208" s="4">
        <v>0</v>
      </c>
      <c r="J208" s="4"/>
      <c r="K208" s="4"/>
      <c r="L208" s="4"/>
      <c r="M208" s="4"/>
      <c r="N208" s="4"/>
      <c r="O208" s="4"/>
    </row>
    <row r="209" spans="1:15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</row>
    <row r="210" spans="1:15" x14ac:dyDescent="0.3">
      <c r="A210" s="4" t="s">
        <v>149</v>
      </c>
      <c r="B210" s="4" t="s">
        <v>49</v>
      </c>
      <c r="C210" s="4" t="s">
        <v>12</v>
      </c>
      <c r="D210" s="4">
        <v>1370820</v>
      </c>
      <c r="E210" s="4">
        <v>14</v>
      </c>
      <c r="F210" s="4" t="s">
        <v>1433</v>
      </c>
      <c r="G210" s="4">
        <v>14</v>
      </c>
      <c r="H210" s="4">
        <v>0</v>
      </c>
      <c r="I210" s="4">
        <v>0</v>
      </c>
      <c r="J210" s="4"/>
      <c r="K210" s="4"/>
      <c r="L210" s="4"/>
      <c r="M210" s="4"/>
      <c r="N210" s="4"/>
      <c r="O210" s="4"/>
    </row>
    <row r="211" spans="1:15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</row>
    <row r="212" spans="1:15" x14ac:dyDescent="0.3">
      <c r="A212" s="4" t="s">
        <v>150</v>
      </c>
      <c r="B212" s="4" t="s">
        <v>49</v>
      </c>
      <c r="C212" s="4" t="s">
        <v>12</v>
      </c>
      <c r="D212" s="4">
        <v>1373136</v>
      </c>
      <c r="E212" s="4">
        <v>50</v>
      </c>
      <c r="F212" s="4" t="s">
        <v>1433</v>
      </c>
      <c r="G212" s="4">
        <v>50</v>
      </c>
      <c r="H212" s="4">
        <v>0</v>
      </c>
      <c r="I212" s="4">
        <v>0</v>
      </c>
      <c r="J212" s="4"/>
      <c r="K212" s="4"/>
      <c r="L212" s="4"/>
      <c r="M212" s="4"/>
      <c r="N212" s="4"/>
      <c r="O212" s="4"/>
    </row>
    <row r="213" spans="1:15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</row>
    <row r="214" spans="1:15" x14ac:dyDescent="0.3">
      <c r="A214" s="4" t="s">
        <v>151</v>
      </c>
      <c r="B214" s="4" t="s">
        <v>49</v>
      </c>
      <c r="C214" s="4" t="s">
        <v>12</v>
      </c>
      <c r="D214" s="4">
        <v>1373400</v>
      </c>
      <c r="E214" s="4">
        <v>45</v>
      </c>
      <c r="F214" s="4" t="s">
        <v>1433</v>
      </c>
      <c r="G214" s="4">
        <v>45</v>
      </c>
      <c r="H214" s="4">
        <v>0</v>
      </c>
      <c r="I214" s="4">
        <v>0</v>
      </c>
      <c r="J214" s="4"/>
      <c r="K214" s="4"/>
      <c r="L214" s="4"/>
      <c r="M214" s="4"/>
      <c r="N214" s="4"/>
      <c r="O214" s="4"/>
    </row>
    <row r="215" spans="1:15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</row>
    <row r="216" spans="1:15" x14ac:dyDescent="0.3">
      <c r="A216" s="4" t="s">
        <v>152</v>
      </c>
      <c r="B216" s="4" t="s">
        <v>49</v>
      </c>
      <c r="C216" s="4" t="s">
        <v>12</v>
      </c>
      <c r="D216" s="4">
        <v>1373412</v>
      </c>
      <c r="E216" s="4">
        <v>67</v>
      </c>
      <c r="F216" s="4" t="s">
        <v>1433</v>
      </c>
      <c r="G216" s="4">
        <v>67</v>
      </c>
      <c r="H216" s="4">
        <v>0</v>
      </c>
      <c r="I216" s="4">
        <v>0</v>
      </c>
      <c r="J216" s="4"/>
      <c r="K216" s="4"/>
      <c r="L216" s="4"/>
      <c r="M216" s="4"/>
      <c r="N216" s="4"/>
      <c r="O216" s="4"/>
    </row>
    <row r="217" spans="1:15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</row>
    <row r="218" spans="1:15" x14ac:dyDescent="0.3">
      <c r="A218" s="4" t="s">
        <v>153</v>
      </c>
      <c r="B218" s="4" t="s">
        <v>49</v>
      </c>
      <c r="C218" s="4" t="s">
        <v>12</v>
      </c>
      <c r="D218" s="4">
        <v>1374174</v>
      </c>
      <c r="E218" s="4">
        <v>57</v>
      </c>
      <c r="F218" s="4" t="s">
        <v>1433</v>
      </c>
      <c r="G218" s="4">
        <v>57</v>
      </c>
      <c r="H218" s="4">
        <v>0</v>
      </c>
      <c r="I218" s="4">
        <v>0</v>
      </c>
      <c r="J218" s="4"/>
      <c r="K218" s="4"/>
      <c r="L218" s="4"/>
      <c r="M218" s="4"/>
      <c r="N218" s="4"/>
      <c r="O218" s="4"/>
    </row>
    <row r="219" spans="1:15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</row>
    <row r="220" spans="1:15" x14ac:dyDescent="0.3">
      <c r="A220" s="4" t="s">
        <v>154</v>
      </c>
      <c r="B220" s="4" t="s">
        <v>49</v>
      </c>
      <c r="C220" s="4" t="s">
        <v>12</v>
      </c>
      <c r="D220" s="4">
        <v>1377198</v>
      </c>
      <c r="E220" s="4">
        <v>7</v>
      </c>
      <c r="F220" s="4" t="s">
        <v>1433</v>
      </c>
      <c r="G220" s="4">
        <v>7</v>
      </c>
      <c r="H220" s="4">
        <v>0</v>
      </c>
      <c r="I220" s="4">
        <v>0</v>
      </c>
      <c r="J220" s="4"/>
      <c r="K220" s="4"/>
      <c r="L220" s="4"/>
      <c r="M220" s="4"/>
      <c r="N220" s="4"/>
      <c r="O220" s="4"/>
    </row>
    <row r="221" spans="1:15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</row>
    <row r="222" spans="1:15" x14ac:dyDescent="0.3">
      <c r="A222" s="4" t="s">
        <v>155</v>
      </c>
      <c r="B222" s="4" t="s">
        <v>49</v>
      </c>
      <c r="C222" s="4" t="s">
        <v>12</v>
      </c>
      <c r="D222" s="4">
        <v>1380978</v>
      </c>
      <c r="E222" s="4">
        <v>29</v>
      </c>
      <c r="F222" s="4" t="s">
        <v>1433</v>
      </c>
      <c r="G222" s="4">
        <v>29</v>
      </c>
      <c r="H222" s="4">
        <v>0</v>
      </c>
      <c r="I222" s="4">
        <v>0</v>
      </c>
      <c r="J222" s="4"/>
      <c r="K222" s="4"/>
      <c r="L222" s="4"/>
      <c r="M222" s="4"/>
      <c r="N222" s="4"/>
      <c r="O222" s="4"/>
    </row>
    <row r="223" spans="1:15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</row>
    <row r="224" spans="1:15" x14ac:dyDescent="0.3">
      <c r="A224" s="4" t="s">
        <v>156</v>
      </c>
      <c r="B224" s="4" t="s">
        <v>49</v>
      </c>
      <c r="C224" s="4" t="s">
        <v>12</v>
      </c>
      <c r="D224" s="4">
        <v>1381002</v>
      </c>
      <c r="E224" s="4">
        <v>16</v>
      </c>
      <c r="F224" s="4" t="s">
        <v>1433</v>
      </c>
      <c r="G224" s="4">
        <v>16</v>
      </c>
      <c r="H224" s="4">
        <v>0</v>
      </c>
      <c r="I224" s="4">
        <v>0</v>
      </c>
      <c r="J224" s="4"/>
      <c r="K224" s="4"/>
      <c r="L224" s="4"/>
      <c r="M224" s="4"/>
      <c r="N224" s="4"/>
      <c r="O224" s="4"/>
    </row>
    <row r="225" spans="1:15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</row>
    <row r="226" spans="1:15" x14ac:dyDescent="0.3">
      <c r="A226" s="4" t="s">
        <v>157</v>
      </c>
      <c r="B226" s="4" t="s">
        <v>49</v>
      </c>
      <c r="C226" s="4" t="s">
        <v>12</v>
      </c>
      <c r="D226" s="4">
        <v>1384398</v>
      </c>
      <c r="E226" s="4">
        <v>22</v>
      </c>
      <c r="F226" s="4" t="s">
        <v>1433</v>
      </c>
      <c r="G226" s="4">
        <v>22</v>
      </c>
      <c r="H226" s="4">
        <v>0</v>
      </c>
      <c r="I226" s="4">
        <v>0</v>
      </c>
      <c r="J226" s="4"/>
      <c r="K226" s="4"/>
      <c r="L226" s="4"/>
      <c r="M226" s="4"/>
      <c r="N226" s="4"/>
      <c r="O226" s="4"/>
    </row>
    <row r="227" spans="1:15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</row>
    <row r="228" spans="1:15" x14ac:dyDescent="0.3">
      <c r="A228" s="4" t="s">
        <v>158</v>
      </c>
      <c r="B228" s="4" t="s">
        <v>49</v>
      </c>
      <c r="C228" s="4" t="s">
        <v>12</v>
      </c>
      <c r="D228" s="4">
        <v>1389600</v>
      </c>
      <c r="E228" s="4">
        <v>46</v>
      </c>
      <c r="F228" s="4" t="s">
        <v>1433</v>
      </c>
      <c r="G228" s="4">
        <v>46</v>
      </c>
      <c r="H228" s="4">
        <v>0</v>
      </c>
      <c r="I228" s="4">
        <v>0</v>
      </c>
      <c r="J228" s="4"/>
      <c r="K228" s="4"/>
      <c r="L228" s="4"/>
      <c r="M228" s="4"/>
      <c r="N228" s="4"/>
      <c r="O228" s="4"/>
    </row>
    <row r="229" spans="1:15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</row>
    <row r="230" spans="1:15" x14ac:dyDescent="0.3">
      <c r="A230" s="4" t="s">
        <v>159</v>
      </c>
      <c r="B230" s="4" t="s">
        <v>49</v>
      </c>
      <c r="C230" s="4" t="s">
        <v>12</v>
      </c>
      <c r="D230" s="4">
        <v>1389636</v>
      </c>
      <c r="E230" s="4">
        <v>16</v>
      </c>
      <c r="F230" s="4" t="s">
        <v>1433</v>
      </c>
      <c r="G230" s="4">
        <v>16</v>
      </c>
      <c r="H230" s="4">
        <v>0</v>
      </c>
      <c r="I230" s="4">
        <v>0</v>
      </c>
      <c r="J230" s="4"/>
      <c r="K230" s="4"/>
      <c r="L230" s="4"/>
      <c r="M230" s="4"/>
      <c r="N230" s="4"/>
      <c r="O230" s="4"/>
    </row>
    <row r="231" spans="1:15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</row>
    <row r="232" spans="1:15" x14ac:dyDescent="0.3">
      <c r="A232" s="4" t="s">
        <v>160</v>
      </c>
      <c r="B232" s="4" t="s">
        <v>49</v>
      </c>
      <c r="C232" s="4" t="s">
        <v>12</v>
      </c>
      <c r="D232" s="4">
        <v>1391508</v>
      </c>
      <c r="E232" s="4">
        <v>17</v>
      </c>
      <c r="F232" s="4" t="s">
        <v>1433</v>
      </c>
      <c r="G232" s="4">
        <v>17</v>
      </c>
      <c r="H232" s="4">
        <v>0</v>
      </c>
      <c r="I232" s="4">
        <v>0</v>
      </c>
      <c r="J232" s="4"/>
      <c r="K232" s="4"/>
      <c r="L232" s="4"/>
      <c r="M232" s="4"/>
      <c r="N232" s="4"/>
      <c r="O232" s="4"/>
    </row>
    <row r="233" spans="1:15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</row>
    <row r="234" spans="1:15" x14ac:dyDescent="0.3">
      <c r="A234" s="4" t="s">
        <v>161</v>
      </c>
      <c r="B234" s="4" t="s">
        <v>49</v>
      </c>
      <c r="C234" s="4" t="s">
        <v>12</v>
      </c>
      <c r="D234" s="4">
        <v>1393278</v>
      </c>
      <c r="E234" s="4">
        <v>50</v>
      </c>
      <c r="F234" s="4" t="s">
        <v>1433</v>
      </c>
      <c r="G234" s="4">
        <v>50</v>
      </c>
      <c r="H234" s="4">
        <v>0</v>
      </c>
      <c r="I234" s="4">
        <v>0</v>
      </c>
      <c r="J234" s="4"/>
      <c r="K234" s="4"/>
      <c r="L234" s="4"/>
      <c r="M234" s="4"/>
      <c r="N234" s="4"/>
      <c r="O234" s="4"/>
    </row>
    <row r="235" spans="1:15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</row>
    <row r="236" spans="1:15" x14ac:dyDescent="0.3">
      <c r="A236" s="4" t="s">
        <v>162</v>
      </c>
      <c r="B236" s="4" t="s">
        <v>49</v>
      </c>
      <c r="C236" s="4" t="s">
        <v>12</v>
      </c>
      <c r="D236" s="4">
        <v>1394490</v>
      </c>
      <c r="E236" s="4">
        <v>256</v>
      </c>
      <c r="F236" s="4" t="s">
        <v>1433</v>
      </c>
      <c r="G236" s="4">
        <v>256</v>
      </c>
      <c r="H236" s="4">
        <v>0</v>
      </c>
      <c r="I236" s="4">
        <v>0</v>
      </c>
      <c r="J236" s="4"/>
      <c r="K236" s="4"/>
      <c r="L236" s="4"/>
      <c r="M236" s="4"/>
      <c r="N236" s="4"/>
      <c r="O236" s="4"/>
    </row>
    <row r="237" spans="1:15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</row>
    <row r="238" spans="1:15" x14ac:dyDescent="0.3">
      <c r="A238" s="4" t="s">
        <v>163</v>
      </c>
      <c r="B238" s="4" t="s">
        <v>49</v>
      </c>
      <c r="C238" s="4" t="s">
        <v>12</v>
      </c>
      <c r="D238" s="4">
        <v>1394838</v>
      </c>
      <c r="E238" s="4">
        <v>48</v>
      </c>
      <c r="F238" s="4" t="s">
        <v>1433</v>
      </c>
      <c r="G238" s="4">
        <v>48</v>
      </c>
      <c r="H238" s="4">
        <v>0</v>
      </c>
      <c r="I238" s="4">
        <v>0</v>
      </c>
      <c r="J238" s="4"/>
      <c r="K238" s="4"/>
      <c r="L238" s="4"/>
      <c r="M238" s="4"/>
      <c r="N238" s="4"/>
      <c r="O238" s="4"/>
    </row>
    <row r="239" spans="1:15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</row>
    <row r="240" spans="1:15" x14ac:dyDescent="0.3">
      <c r="A240" s="4" t="s">
        <v>164</v>
      </c>
      <c r="B240" s="4" t="s">
        <v>49</v>
      </c>
      <c r="C240" s="4" t="s">
        <v>12</v>
      </c>
      <c r="D240" s="4">
        <v>1395786</v>
      </c>
      <c r="E240" s="4">
        <v>12</v>
      </c>
      <c r="F240" s="4" t="s">
        <v>1433</v>
      </c>
      <c r="G240" s="4">
        <v>12</v>
      </c>
      <c r="H240" s="4">
        <v>0</v>
      </c>
      <c r="I240" s="4">
        <v>0</v>
      </c>
      <c r="J240" s="4"/>
      <c r="K240" s="4"/>
      <c r="L240" s="4"/>
      <c r="M240" s="4"/>
      <c r="N240" s="4"/>
      <c r="O240" s="4"/>
    </row>
    <row r="241" spans="1:15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</row>
    <row r="242" spans="1:15" x14ac:dyDescent="0.3">
      <c r="A242" s="4" t="s">
        <v>165</v>
      </c>
      <c r="B242" s="4" t="s">
        <v>49</v>
      </c>
      <c r="C242" s="4" t="s">
        <v>12</v>
      </c>
      <c r="D242" s="4">
        <v>1395816</v>
      </c>
      <c r="E242" s="4">
        <v>16</v>
      </c>
      <c r="F242" s="4" t="s">
        <v>1433</v>
      </c>
      <c r="G242" s="4">
        <v>16</v>
      </c>
      <c r="H242" s="4">
        <v>0</v>
      </c>
      <c r="I242" s="4">
        <v>0</v>
      </c>
      <c r="J242" s="4"/>
      <c r="K242" s="4"/>
      <c r="L242" s="4"/>
      <c r="M242" s="4"/>
      <c r="N242" s="4"/>
      <c r="O242" s="4"/>
    </row>
    <row r="243" spans="1:15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</row>
    <row r="244" spans="1:15" x14ac:dyDescent="0.3">
      <c r="A244" s="4" t="s">
        <v>166</v>
      </c>
      <c r="B244" s="4" t="s">
        <v>49</v>
      </c>
      <c r="C244" s="4" t="s">
        <v>12</v>
      </c>
      <c r="D244" s="4">
        <v>1398366</v>
      </c>
      <c r="E244" s="4">
        <v>28</v>
      </c>
      <c r="F244" s="4" t="s">
        <v>1433</v>
      </c>
      <c r="G244" s="4">
        <v>28</v>
      </c>
      <c r="H244" s="4">
        <v>0</v>
      </c>
      <c r="I244" s="4">
        <v>0</v>
      </c>
      <c r="J244" s="4"/>
      <c r="K244" s="4"/>
      <c r="L244" s="4"/>
      <c r="M244" s="4"/>
      <c r="N244" s="4"/>
      <c r="O244" s="4"/>
    </row>
    <row r="245" spans="1:15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</row>
    <row r="246" spans="1:15" x14ac:dyDescent="0.3">
      <c r="A246" s="4" t="s">
        <v>167</v>
      </c>
      <c r="B246" s="4" t="s">
        <v>49</v>
      </c>
      <c r="C246" s="4" t="s">
        <v>12</v>
      </c>
      <c r="D246" s="4">
        <v>1398546</v>
      </c>
      <c r="E246" s="4">
        <v>27</v>
      </c>
      <c r="F246" s="4" t="s">
        <v>1433</v>
      </c>
      <c r="G246" s="4">
        <v>27</v>
      </c>
      <c r="H246" s="4">
        <v>0</v>
      </c>
      <c r="I246" s="4">
        <v>0</v>
      </c>
      <c r="J246" s="4"/>
      <c r="K246" s="4"/>
      <c r="L246" s="4"/>
      <c r="M246" s="4"/>
      <c r="N246" s="4"/>
      <c r="O246" s="4"/>
    </row>
    <row r="247" spans="1:15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</row>
    <row r="248" spans="1:15" x14ac:dyDescent="0.3">
      <c r="A248" s="4" t="s">
        <v>168</v>
      </c>
      <c r="B248" s="4" t="s">
        <v>49</v>
      </c>
      <c r="C248" s="4" t="s">
        <v>12</v>
      </c>
      <c r="D248" s="4">
        <v>1399230</v>
      </c>
      <c r="E248" s="4">
        <v>9</v>
      </c>
      <c r="F248" s="4" t="s">
        <v>1433</v>
      </c>
      <c r="G248" s="4">
        <v>9</v>
      </c>
      <c r="H248" s="4">
        <v>0</v>
      </c>
      <c r="I248" s="4">
        <v>0</v>
      </c>
      <c r="J248" s="4"/>
      <c r="K248" s="4"/>
      <c r="L248" s="4"/>
      <c r="M248" s="4"/>
      <c r="N248" s="4"/>
      <c r="O248" s="4"/>
    </row>
    <row r="249" spans="1:15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</row>
    <row r="250" spans="1:15" x14ac:dyDescent="0.3">
      <c r="A250" s="4" t="s">
        <v>169</v>
      </c>
      <c r="B250" s="4" t="s">
        <v>49</v>
      </c>
      <c r="C250" s="4" t="s">
        <v>12</v>
      </c>
      <c r="D250" s="4">
        <v>1399314</v>
      </c>
      <c r="E250" s="4">
        <v>16</v>
      </c>
      <c r="F250" s="4" t="s">
        <v>1433</v>
      </c>
      <c r="G250" s="4">
        <v>16</v>
      </c>
      <c r="H250" s="4">
        <v>0</v>
      </c>
      <c r="I250" s="4">
        <v>0</v>
      </c>
      <c r="J250" s="4"/>
      <c r="K250" s="4"/>
      <c r="L250" s="4"/>
      <c r="M250" s="4"/>
      <c r="N250" s="4"/>
      <c r="O250" s="4"/>
    </row>
    <row r="251" spans="1:15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</row>
    <row r="252" spans="1:15" x14ac:dyDescent="0.3">
      <c r="A252" s="4" t="s">
        <v>170</v>
      </c>
      <c r="B252" s="4" t="s">
        <v>49</v>
      </c>
      <c r="C252" s="4" t="s">
        <v>12</v>
      </c>
      <c r="D252" s="4">
        <v>1408956</v>
      </c>
      <c r="E252" s="4">
        <v>12</v>
      </c>
      <c r="F252" s="4" t="s">
        <v>1433</v>
      </c>
      <c r="G252" s="4">
        <v>12</v>
      </c>
      <c r="H252" s="4">
        <v>0</v>
      </c>
      <c r="I252" s="4">
        <v>0</v>
      </c>
      <c r="J252" s="4"/>
      <c r="K252" s="4"/>
      <c r="L252" s="4"/>
      <c r="M252" s="4"/>
      <c r="N252" s="4"/>
      <c r="O252" s="4"/>
    </row>
    <row r="253" spans="1:15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</row>
    <row r="254" spans="1:15" x14ac:dyDescent="0.3">
      <c r="A254" s="4" t="s">
        <v>171</v>
      </c>
      <c r="B254" s="4" t="s">
        <v>49</v>
      </c>
      <c r="C254" s="4" t="s">
        <v>12</v>
      </c>
      <c r="D254" s="4">
        <v>1409700</v>
      </c>
      <c r="E254" s="4">
        <v>25</v>
      </c>
      <c r="F254" s="4" t="s">
        <v>1433</v>
      </c>
      <c r="G254" s="4">
        <v>25</v>
      </c>
      <c r="H254" s="4">
        <v>0</v>
      </c>
      <c r="I254" s="4">
        <v>0</v>
      </c>
      <c r="J254" s="4"/>
      <c r="K254" s="4"/>
      <c r="L254" s="4"/>
      <c r="M254" s="4"/>
      <c r="N254" s="4"/>
      <c r="O254" s="4"/>
    </row>
    <row r="255" spans="1:15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</row>
    <row r="256" spans="1:15" x14ac:dyDescent="0.3">
      <c r="A256" s="4" t="s">
        <v>172</v>
      </c>
      <c r="B256" s="4" t="s">
        <v>49</v>
      </c>
      <c r="C256" s="4" t="s">
        <v>12</v>
      </c>
      <c r="D256" s="4">
        <v>1411170</v>
      </c>
      <c r="E256" s="4">
        <v>14</v>
      </c>
      <c r="F256" s="4" t="s">
        <v>1433</v>
      </c>
      <c r="G256" s="4">
        <v>14</v>
      </c>
      <c r="H256" s="4">
        <v>0</v>
      </c>
      <c r="I256" s="4">
        <v>0</v>
      </c>
      <c r="J256" s="4"/>
      <c r="K256" s="4"/>
      <c r="L256" s="4"/>
      <c r="M256" s="4"/>
      <c r="N256" s="4"/>
      <c r="O256" s="4"/>
    </row>
    <row r="257" spans="1:15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</row>
    <row r="258" spans="1:15" x14ac:dyDescent="0.3">
      <c r="A258" s="4" t="s">
        <v>173</v>
      </c>
      <c r="B258" s="4" t="s">
        <v>49</v>
      </c>
      <c r="C258" s="4" t="s">
        <v>12</v>
      </c>
      <c r="D258" s="4">
        <v>1415622</v>
      </c>
      <c r="E258" s="4">
        <v>22</v>
      </c>
      <c r="F258" s="4" t="s">
        <v>1433</v>
      </c>
      <c r="G258" s="4">
        <v>22</v>
      </c>
      <c r="H258" s="4">
        <v>0</v>
      </c>
      <c r="I258" s="4">
        <v>0</v>
      </c>
      <c r="J258" s="4"/>
      <c r="K258" s="4"/>
      <c r="L258" s="4"/>
      <c r="M258" s="4"/>
      <c r="N258" s="4"/>
      <c r="O258" s="4"/>
    </row>
    <row r="259" spans="1:15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</row>
    <row r="260" spans="1:15" x14ac:dyDescent="0.3">
      <c r="A260" s="4" t="s">
        <v>174</v>
      </c>
      <c r="B260" s="4" t="s">
        <v>49</v>
      </c>
      <c r="C260" s="4" t="s">
        <v>12</v>
      </c>
      <c r="D260" s="4">
        <v>1415892</v>
      </c>
      <c r="E260" s="4">
        <v>19</v>
      </c>
      <c r="F260" s="4" t="s">
        <v>1433</v>
      </c>
      <c r="G260" s="4">
        <v>19</v>
      </c>
      <c r="H260" s="4">
        <v>0</v>
      </c>
      <c r="I260" s="4">
        <v>0</v>
      </c>
      <c r="J260" s="4"/>
      <c r="K260" s="4"/>
      <c r="L260" s="4"/>
      <c r="M260" s="4"/>
      <c r="N260" s="4"/>
      <c r="O260" s="4"/>
    </row>
    <row r="261" spans="1:15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</row>
    <row r="262" spans="1:15" x14ac:dyDescent="0.3">
      <c r="A262" s="4" t="s">
        <v>175</v>
      </c>
      <c r="B262" s="4" t="s">
        <v>49</v>
      </c>
      <c r="C262" s="4" t="s">
        <v>12</v>
      </c>
      <c r="D262" s="4">
        <v>1420122</v>
      </c>
      <c r="E262" s="4">
        <v>50</v>
      </c>
      <c r="F262" s="4" t="s">
        <v>1433</v>
      </c>
      <c r="G262" s="4">
        <v>50</v>
      </c>
      <c r="H262" s="4">
        <v>0</v>
      </c>
      <c r="I262" s="4">
        <v>0</v>
      </c>
      <c r="J262" s="4"/>
      <c r="K262" s="4"/>
      <c r="L262" s="4"/>
      <c r="M262" s="4"/>
      <c r="N262" s="4"/>
      <c r="O262" s="4"/>
    </row>
    <row r="263" spans="1:15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</row>
    <row r="264" spans="1:15" x14ac:dyDescent="0.3">
      <c r="A264" s="4" t="s">
        <v>176</v>
      </c>
      <c r="B264" s="4" t="s">
        <v>49</v>
      </c>
      <c r="C264" s="4" t="s">
        <v>12</v>
      </c>
      <c r="D264" s="4">
        <v>1421154</v>
      </c>
      <c r="E264" s="4">
        <v>125</v>
      </c>
      <c r="F264" s="4" t="s">
        <v>1433</v>
      </c>
      <c r="G264" s="4">
        <v>125</v>
      </c>
      <c r="H264" s="4">
        <v>0</v>
      </c>
      <c r="I264" s="4">
        <v>0</v>
      </c>
      <c r="J264" s="4"/>
      <c r="K264" s="4"/>
      <c r="L264" s="4"/>
      <c r="M264" s="4"/>
      <c r="N264" s="4"/>
      <c r="O264" s="4"/>
    </row>
    <row r="265" spans="1:15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</row>
    <row r="266" spans="1:15" x14ac:dyDescent="0.3">
      <c r="A266" s="4" t="s">
        <v>177</v>
      </c>
      <c r="B266" s="4" t="s">
        <v>49</v>
      </c>
      <c r="C266" s="4" t="s">
        <v>12</v>
      </c>
      <c r="D266" s="4">
        <v>1422510</v>
      </c>
      <c r="E266" s="4">
        <v>44</v>
      </c>
      <c r="F266" s="4" t="s">
        <v>1433</v>
      </c>
      <c r="G266" s="4">
        <v>44</v>
      </c>
      <c r="H266" s="4">
        <v>0</v>
      </c>
      <c r="I266" s="4">
        <v>0</v>
      </c>
      <c r="J266" s="4"/>
      <c r="K266" s="4"/>
      <c r="L266" s="4"/>
      <c r="M266" s="4"/>
      <c r="N266" s="4"/>
      <c r="O266" s="4"/>
    </row>
    <row r="267" spans="1:15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</row>
    <row r="268" spans="1:15" x14ac:dyDescent="0.3">
      <c r="A268" s="4" t="s">
        <v>178</v>
      </c>
      <c r="B268" s="4" t="s">
        <v>49</v>
      </c>
      <c r="C268" s="4" t="s">
        <v>12</v>
      </c>
      <c r="D268" s="4">
        <v>1424280</v>
      </c>
      <c r="E268" s="4">
        <v>8</v>
      </c>
      <c r="F268" s="4" t="s">
        <v>1433</v>
      </c>
      <c r="G268" s="4">
        <v>8</v>
      </c>
      <c r="H268" s="4">
        <v>0</v>
      </c>
      <c r="I268" s="4">
        <v>0</v>
      </c>
      <c r="J268" s="4"/>
      <c r="K268" s="4"/>
      <c r="L268" s="4"/>
      <c r="M268" s="4"/>
      <c r="N268" s="4"/>
      <c r="O268" s="4"/>
    </row>
    <row r="269" spans="1:15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</row>
    <row r="270" spans="1:15" x14ac:dyDescent="0.3">
      <c r="A270" s="4" t="s">
        <v>179</v>
      </c>
      <c r="B270" s="4" t="s">
        <v>49</v>
      </c>
      <c r="C270" s="4" t="s">
        <v>12</v>
      </c>
      <c r="D270" s="4">
        <v>1424322</v>
      </c>
      <c r="E270" s="4">
        <v>9</v>
      </c>
      <c r="F270" s="4" t="s">
        <v>1433</v>
      </c>
      <c r="G270" s="4">
        <v>9</v>
      </c>
      <c r="H270" s="4">
        <v>0</v>
      </c>
      <c r="I270" s="4">
        <v>0</v>
      </c>
      <c r="J270" s="4"/>
      <c r="K270" s="4"/>
      <c r="L270" s="4"/>
      <c r="M270" s="4"/>
      <c r="N270" s="4"/>
      <c r="O270" s="4"/>
    </row>
    <row r="271" spans="1:15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</row>
    <row r="272" spans="1:15" x14ac:dyDescent="0.3">
      <c r="A272" s="4" t="s">
        <v>180</v>
      </c>
      <c r="B272" s="4" t="s">
        <v>49</v>
      </c>
      <c r="C272" s="4" t="s">
        <v>12</v>
      </c>
      <c r="D272" s="4">
        <v>1424346</v>
      </c>
      <c r="E272" s="4">
        <v>6</v>
      </c>
      <c r="F272" s="4" t="s">
        <v>1433</v>
      </c>
      <c r="G272" s="4">
        <v>6</v>
      </c>
      <c r="H272" s="4">
        <v>0</v>
      </c>
      <c r="I272" s="4">
        <v>0</v>
      </c>
      <c r="J272" s="4"/>
      <c r="K272" s="4"/>
      <c r="L272" s="4"/>
      <c r="M272" s="4"/>
      <c r="N272" s="4"/>
      <c r="O272" s="4"/>
    </row>
    <row r="273" spans="1:15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</row>
    <row r="274" spans="1:15" x14ac:dyDescent="0.3">
      <c r="A274" s="4" t="s">
        <v>181</v>
      </c>
      <c r="B274" s="4" t="s">
        <v>49</v>
      </c>
      <c r="C274" s="4" t="s">
        <v>12</v>
      </c>
      <c r="D274" s="4">
        <v>1424946</v>
      </c>
      <c r="E274" s="4">
        <v>5</v>
      </c>
      <c r="F274" s="4" t="s">
        <v>1433</v>
      </c>
      <c r="G274" s="4">
        <v>5</v>
      </c>
      <c r="H274" s="4">
        <v>0</v>
      </c>
      <c r="I274" s="4">
        <v>0</v>
      </c>
      <c r="J274" s="4"/>
      <c r="K274" s="4"/>
      <c r="L274" s="4"/>
      <c r="M274" s="4"/>
      <c r="N274" s="4"/>
      <c r="O274" s="4"/>
    </row>
    <row r="275" spans="1:15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</row>
    <row r="276" spans="1:15" x14ac:dyDescent="0.3">
      <c r="A276" s="4" t="s">
        <v>182</v>
      </c>
      <c r="B276" s="4" t="s">
        <v>49</v>
      </c>
      <c r="C276" s="4" t="s">
        <v>12</v>
      </c>
      <c r="D276" s="4">
        <v>1425060</v>
      </c>
      <c r="E276" s="4">
        <v>43</v>
      </c>
      <c r="F276" s="4" t="s">
        <v>1433</v>
      </c>
      <c r="G276" s="4">
        <v>43</v>
      </c>
      <c r="H276" s="4">
        <v>0</v>
      </c>
      <c r="I276" s="4">
        <v>0</v>
      </c>
      <c r="J276" s="4"/>
      <c r="K276" s="4"/>
      <c r="L276" s="4"/>
      <c r="M276" s="4"/>
      <c r="N276" s="4"/>
      <c r="O276" s="4"/>
    </row>
    <row r="277" spans="1:15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</row>
    <row r="278" spans="1:15" x14ac:dyDescent="0.3">
      <c r="A278" s="4" t="s">
        <v>183</v>
      </c>
      <c r="B278" s="4" t="s">
        <v>49</v>
      </c>
      <c r="C278" s="4" t="s">
        <v>12</v>
      </c>
      <c r="D278" s="4">
        <v>1425084</v>
      </c>
      <c r="E278" s="4">
        <v>43</v>
      </c>
      <c r="F278" s="4" t="s">
        <v>1433</v>
      </c>
      <c r="G278" s="4">
        <v>43</v>
      </c>
      <c r="H278" s="4">
        <v>0</v>
      </c>
      <c r="I278" s="4">
        <v>0</v>
      </c>
      <c r="J278" s="4"/>
      <c r="K278" s="4"/>
      <c r="L278" s="4"/>
      <c r="M278" s="4"/>
      <c r="N278" s="4"/>
      <c r="O278" s="4"/>
    </row>
    <row r="279" spans="1:15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</row>
    <row r="280" spans="1:15" x14ac:dyDescent="0.3">
      <c r="A280" s="4" t="s">
        <v>184</v>
      </c>
      <c r="B280" s="4" t="s">
        <v>49</v>
      </c>
      <c r="C280" s="4" t="s">
        <v>12</v>
      </c>
      <c r="D280" s="4">
        <v>1425102</v>
      </c>
      <c r="E280" s="4">
        <v>47</v>
      </c>
      <c r="F280" s="4" t="s">
        <v>1433</v>
      </c>
      <c r="G280" s="4">
        <v>47</v>
      </c>
      <c r="H280" s="4">
        <v>0</v>
      </c>
      <c r="I280" s="4">
        <v>0</v>
      </c>
      <c r="J280" s="4"/>
      <c r="K280" s="4"/>
      <c r="L280" s="4"/>
      <c r="M280" s="4"/>
      <c r="N280" s="4"/>
      <c r="O280" s="4"/>
    </row>
    <row r="281" spans="1:15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</row>
    <row r="282" spans="1:15" x14ac:dyDescent="0.3">
      <c r="A282" s="4" t="s">
        <v>185</v>
      </c>
      <c r="B282" s="4" t="s">
        <v>49</v>
      </c>
      <c r="C282" s="4" t="s">
        <v>12</v>
      </c>
      <c r="D282" s="4">
        <v>1425816</v>
      </c>
      <c r="E282" s="4">
        <v>61</v>
      </c>
      <c r="F282" s="4" t="s">
        <v>1433</v>
      </c>
      <c r="G282" s="4">
        <v>61</v>
      </c>
      <c r="H282" s="4">
        <v>0</v>
      </c>
      <c r="I282" s="4">
        <v>0</v>
      </c>
      <c r="J282" s="4"/>
      <c r="K282" s="4"/>
      <c r="L282" s="4"/>
      <c r="M282" s="4"/>
      <c r="N282" s="4"/>
      <c r="O282" s="4"/>
    </row>
    <row r="283" spans="1:15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</row>
    <row r="284" spans="1:15" x14ac:dyDescent="0.3">
      <c r="A284" s="4" t="s">
        <v>186</v>
      </c>
      <c r="B284" s="4" t="s">
        <v>49</v>
      </c>
      <c r="C284" s="4" t="s">
        <v>12</v>
      </c>
      <c r="D284" s="4">
        <v>1426134</v>
      </c>
      <c r="E284" s="4">
        <v>121</v>
      </c>
      <c r="F284" s="4" t="s">
        <v>1433</v>
      </c>
      <c r="G284" s="4">
        <v>121</v>
      </c>
      <c r="H284" s="4">
        <v>0</v>
      </c>
      <c r="I284" s="4">
        <v>0</v>
      </c>
      <c r="J284" s="4"/>
      <c r="K284" s="4"/>
      <c r="L284" s="4"/>
      <c r="M284" s="4"/>
      <c r="N284" s="4"/>
      <c r="O284" s="4"/>
    </row>
    <row r="285" spans="1:15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</row>
    <row r="286" spans="1:15" x14ac:dyDescent="0.3">
      <c r="A286" s="4" t="s">
        <v>187</v>
      </c>
      <c r="B286" s="4" t="s">
        <v>49</v>
      </c>
      <c r="C286" s="4" t="s">
        <v>12</v>
      </c>
      <c r="D286" s="4">
        <v>1426200</v>
      </c>
      <c r="E286" s="4">
        <v>15</v>
      </c>
      <c r="F286" s="4" t="s">
        <v>1433</v>
      </c>
      <c r="G286" s="4">
        <v>15</v>
      </c>
      <c r="H286" s="4">
        <v>0</v>
      </c>
      <c r="I286" s="4">
        <v>0</v>
      </c>
      <c r="J286" s="4"/>
      <c r="K286" s="4"/>
      <c r="L286" s="4"/>
      <c r="M286" s="4"/>
      <c r="N286" s="4"/>
      <c r="O286" s="4"/>
    </row>
    <row r="287" spans="1:15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</row>
    <row r="288" spans="1:15" x14ac:dyDescent="0.3">
      <c r="A288" s="4" t="s">
        <v>188</v>
      </c>
      <c r="B288" s="4" t="s">
        <v>49</v>
      </c>
      <c r="C288" s="4" t="s">
        <v>12</v>
      </c>
      <c r="D288" s="4">
        <v>1426278</v>
      </c>
      <c r="E288" s="4">
        <v>40</v>
      </c>
      <c r="F288" s="4" t="s">
        <v>1433</v>
      </c>
      <c r="G288" s="4">
        <v>40</v>
      </c>
      <c r="H288" s="4">
        <v>0</v>
      </c>
      <c r="I288" s="4">
        <v>0</v>
      </c>
      <c r="J288" s="4"/>
      <c r="K288" s="4"/>
      <c r="L288" s="4"/>
      <c r="M288" s="4"/>
      <c r="N288" s="4"/>
      <c r="O288" s="4"/>
    </row>
    <row r="289" spans="1:15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</row>
    <row r="290" spans="1:15" x14ac:dyDescent="0.3">
      <c r="A290" s="4" t="s">
        <v>189</v>
      </c>
      <c r="B290" s="4" t="s">
        <v>49</v>
      </c>
      <c r="C290" s="4" t="s">
        <v>12</v>
      </c>
      <c r="D290" s="4">
        <v>1426284</v>
      </c>
      <c r="E290" s="4">
        <v>24</v>
      </c>
      <c r="F290" s="4" t="s">
        <v>1433</v>
      </c>
      <c r="G290" s="4">
        <v>24</v>
      </c>
      <c r="H290" s="4">
        <v>0</v>
      </c>
      <c r="I290" s="4">
        <v>0</v>
      </c>
      <c r="J290" s="4"/>
      <c r="K290" s="4"/>
      <c r="L290" s="4"/>
      <c r="M290" s="4"/>
      <c r="N290" s="4"/>
      <c r="O290" s="4"/>
    </row>
    <row r="291" spans="1:15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</row>
    <row r="292" spans="1:15" x14ac:dyDescent="0.3">
      <c r="A292" s="4" t="s">
        <v>190</v>
      </c>
      <c r="B292" s="4" t="s">
        <v>49</v>
      </c>
      <c r="C292" s="4" t="s">
        <v>12</v>
      </c>
      <c r="D292" s="4">
        <v>1426296</v>
      </c>
      <c r="E292" s="4">
        <v>11</v>
      </c>
      <c r="F292" s="4" t="s">
        <v>1433</v>
      </c>
      <c r="G292" s="4">
        <v>11</v>
      </c>
      <c r="H292" s="4">
        <v>0</v>
      </c>
      <c r="I292" s="4">
        <v>0</v>
      </c>
      <c r="J292" s="4"/>
      <c r="K292" s="4"/>
      <c r="L292" s="4"/>
      <c r="M292" s="4"/>
      <c r="N292" s="4"/>
      <c r="O292" s="4"/>
    </row>
    <row r="293" spans="1:15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</row>
    <row r="294" spans="1:15" x14ac:dyDescent="0.3">
      <c r="A294" s="4" t="s">
        <v>191</v>
      </c>
      <c r="B294" s="4" t="s">
        <v>49</v>
      </c>
      <c r="C294" s="4" t="s">
        <v>12</v>
      </c>
      <c r="D294" s="4">
        <v>1426308</v>
      </c>
      <c r="E294" s="4">
        <v>59</v>
      </c>
      <c r="F294" s="4" t="s">
        <v>1433</v>
      </c>
      <c r="G294" s="4">
        <v>59</v>
      </c>
      <c r="H294" s="4">
        <v>0</v>
      </c>
      <c r="I294" s="4">
        <v>0</v>
      </c>
      <c r="J294" s="4"/>
      <c r="K294" s="4"/>
      <c r="L294" s="4"/>
      <c r="M294" s="4"/>
      <c r="N294" s="4"/>
      <c r="O294" s="4"/>
    </row>
    <row r="295" spans="1:15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</row>
    <row r="296" spans="1:15" x14ac:dyDescent="0.3">
      <c r="A296" s="4" t="s">
        <v>192</v>
      </c>
      <c r="B296" s="4" t="s">
        <v>49</v>
      </c>
      <c r="C296" s="4" t="s">
        <v>12</v>
      </c>
      <c r="D296" s="4">
        <v>1426848</v>
      </c>
      <c r="E296" s="4">
        <v>7</v>
      </c>
      <c r="F296" s="4" t="s">
        <v>1433</v>
      </c>
      <c r="G296" s="4">
        <v>7</v>
      </c>
      <c r="H296" s="4">
        <v>0</v>
      </c>
      <c r="I296" s="4">
        <v>0</v>
      </c>
      <c r="J296" s="4"/>
      <c r="K296" s="4"/>
      <c r="L296" s="4"/>
      <c r="M296" s="4"/>
      <c r="N296" s="4"/>
      <c r="O296" s="4"/>
    </row>
    <row r="297" spans="1:15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</row>
    <row r="298" spans="1:15" x14ac:dyDescent="0.3">
      <c r="A298" s="4" t="s">
        <v>193</v>
      </c>
      <c r="B298" s="4" t="s">
        <v>49</v>
      </c>
      <c r="C298" s="4" t="s">
        <v>12</v>
      </c>
      <c r="D298" s="4">
        <v>1426926</v>
      </c>
      <c r="E298" s="4">
        <v>181</v>
      </c>
      <c r="F298" s="4" t="s">
        <v>1433</v>
      </c>
      <c r="G298" s="4">
        <v>181</v>
      </c>
      <c r="H298" s="4">
        <v>0</v>
      </c>
      <c r="I298" s="4">
        <v>0</v>
      </c>
      <c r="J298" s="4"/>
      <c r="K298" s="4"/>
      <c r="L298" s="4"/>
      <c r="M298" s="4"/>
      <c r="N298" s="4"/>
      <c r="O298" s="4"/>
    </row>
    <row r="299" spans="1:15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</row>
    <row r="300" spans="1:15" x14ac:dyDescent="0.3">
      <c r="A300" s="4" t="s">
        <v>194</v>
      </c>
      <c r="B300" s="4" t="s">
        <v>49</v>
      </c>
      <c r="C300" s="4" t="s">
        <v>12</v>
      </c>
      <c r="D300" s="4">
        <v>1427274</v>
      </c>
      <c r="E300" s="4">
        <v>20</v>
      </c>
      <c r="F300" s="4" t="s">
        <v>1433</v>
      </c>
      <c r="G300" s="4">
        <v>20</v>
      </c>
      <c r="H300" s="4">
        <v>0</v>
      </c>
      <c r="I300" s="4">
        <v>0</v>
      </c>
      <c r="J300" s="4"/>
      <c r="K300" s="4"/>
      <c r="L300" s="4"/>
      <c r="M300" s="4"/>
      <c r="N300" s="4"/>
      <c r="O300" s="4"/>
    </row>
    <row r="301" spans="1:15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</row>
    <row r="302" spans="1:15" x14ac:dyDescent="0.3">
      <c r="A302" s="4" t="s">
        <v>195</v>
      </c>
      <c r="B302" s="4" t="s">
        <v>49</v>
      </c>
      <c r="C302" s="4" t="s">
        <v>12</v>
      </c>
      <c r="D302" s="4">
        <v>1427280</v>
      </c>
      <c r="E302" s="4">
        <v>21</v>
      </c>
      <c r="F302" s="4" t="s">
        <v>1433</v>
      </c>
      <c r="G302" s="4">
        <v>21</v>
      </c>
      <c r="H302" s="4">
        <v>0</v>
      </c>
      <c r="I302" s="4">
        <v>0</v>
      </c>
      <c r="J302" s="4"/>
      <c r="K302" s="4"/>
      <c r="L302" s="4"/>
      <c r="M302" s="4"/>
      <c r="N302" s="4"/>
      <c r="O302" s="4"/>
    </row>
    <row r="303" spans="1:15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</row>
    <row r="304" spans="1:15" x14ac:dyDescent="0.3">
      <c r="A304" s="4" t="s">
        <v>196</v>
      </c>
      <c r="B304" s="4" t="s">
        <v>49</v>
      </c>
      <c r="C304" s="4" t="s">
        <v>12</v>
      </c>
      <c r="D304" s="4">
        <v>1428282</v>
      </c>
      <c r="E304" s="4">
        <v>17</v>
      </c>
      <c r="F304" s="4" t="s">
        <v>1433</v>
      </c>
      <c r="G304" s="4">
        <v>17</v>
      </c>
      <c r="H304" s="4">
        <v>0</v>
      </c>
      <c r="I304" s="4">
        <v>0</v>
      </c>
      <c r="J304" s="4"/>
      <c r="K304" s="4"/>
      <c r="L304" s="4"/>
      <c r="M304" s="4"/>
      <c r="N304" s="4"/>
      <c r="O304" s="4"/>
    </row>
    <row r="305" spans="1:15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</row>
    <row r="306" spans="1:15" x14ac:dyDescent="0.3">
      <c r="A306" s="4" t="s">
        <v>197</v>
      </c>
      <c r="B306" s="4" t="s">
        <v>49</v>
      </c>
      <c r="C306" s="4" t="s">
        <v>12</v>
      </c>
      <c r="D306" s="4">
        <v>1429116</v>
      </c>
      <c r="E306" s="4">
        <v>128</v>
      </c>
      <c r="F306" s="4" t="s">
        <v>1433</v>
      </c>
      <c r="G306" s="4">
        <v>128</v>
      </c>
      <c r="H306" s="4">
        <v>0</v>
      </c>
      <c r="I306" s="4">
        <v>0</v>
      </c>
      <c r="J306" s="4"/>
      <c r="K306" s="4"/>
      <c r="L306" s="4"/>
      <c r="M306" s="4"/>
      <c r="N306" s="4"/>
      <c r="O306" s="4"/>
    </row>
    <row r="307" spans="1:15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</row>
    <row r="308" spans="1:15" x14ac:dyDescent="0.3">
      <c r="A308" s="4" t="s">
        <v>198</v>
      </c>
      <c r="B308" s="4" t="s">
        <v>49</v>
      </c>
      <c r="C308" s="4" t="s">
        <v>12</v>
      </c>
      <c r="D308" s="4">
        <v>1429212</v>
      </c>
      <c r="E308" s="4">
        <v>25</v>
      </c>
      <c r="F308" s="4" t="s">
        <v>1433</v>
      </c>
      <c r="G308" s="4">
        <v>25</v>
      </c>
      <c r="H308" s="4">
        <v>0</v>
      </c>
      <c r="I308" s="4">
        <v>0</v>
      </c>
      <c r="J308" s="4"/>
      <c r="K308" s="4"/>
      <c r="L308" s="4"/>
      <c r="M308" s="4"/>
      <c r="N308" s="4"/>
      <c r="O308" s="4"/>
    </row>
    <row r="309" spans="1:15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</row>
    <row r="310" spans="1:15" x14ac:dyDescent="0.3">
      <c r="A310" s="4" t="s">
        <v>199</v>
      </c>
      <c r="B310" s="4" t="s">
        <v>49</v>
      </c>
      <c r="C310" s="4" t="s">
        <v>12</v>
      </c>
      <c r="D310" s="4">
        <v>1429908</v>
      </c>
      <c r="E310" s="4">
        <v>57</v>
      </c>
      <c r="F310" s="4" t="s">
        <v>1433</v>
      </c>
      <c r="G310" s="4">
        <v>57</v>
      </c>
      <c r="H310" s="4">
        <v>0</v>
      </c>
      <c r="I310" s="4">
        <v>0</v>
      </c>
      <c r="J310" s="4"/>
      <c r="K310" s="4"/>
      <c r="L310" s="4"/>
      <c r="M310" s="4"/>
      <c r="N310" s="4"/>
      <c r="O310" s="4"/>
    </row>
    <row r="311" spans="1:15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</row>
    <row r="312" spans="1:15" x14ac:dyDescent="0.3">
      <c r="A312" s="4" t="s">
        <v>200</v>
      </c>
      <c r="B312" s="4" t="s">
        <v>49</v>
      </c>
      <c r="C312" s="4" t="s">
        <v>12</v>
      </c>
      <c r="D312" s="4">
        <v>1430364</v>
      </c>
      <c r="E312" s="4">
        <v>32</v>
      </c>
      <c r="F312" s="4" t="s">
        <v>1433</v>
      </c>
      <c r="G312" s="4">
        <v>32</v>
      </c>
      <c r="H312" s="4">
        <v>0</v>
      </c>
      <c r="I312" s="4">
        <v>0</v>
      </c>
      <c r="J312" s="4"/>
      <c r="K312" s="4"/>
      <c r="L312" s="4"/>
      <c r="M312" s="4"/>
      <c r="N312" s="4"/>
      <c r="O312" s="4"/>
    </row>
    <row r="313" spans="1:15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</row>
    <row r="314" spans="1:15" x14ac:dyDescent="0.3">
      <c r="A314" s="4" t="s">
        <v>201</v>
      </c>
      <c r="B314" s="4" t="s">
        <v>49</v>
      </c>
      <c r="C314" s="4" t="s">
        <v>12</v>
      </c>
      <c r="D314" s="4">
        <v>1431330</v>
      </c>
      <c r="E314" s="4">
        <v>81</v>
      </c>
      <c r="F314" s="4" t="s">
        <v>1433</v>
      </c>
      <c r="G314" s="4">
        <v>81</v>
      </c>
      <c r="H314" s="4">
        <v>0</v>
      </c>
      <c r="I314" s="4">
        <v>0</v>
      </c>
      <c r="J314" s="4"/>
      <c r="K314" s="4"/>
      <c r="L314" s="4"/>
      <c r="M314" s="4"/>
      <c r="N314" s="4"/>
      <c r="O314" s="4"/>
    </row>
    <row r="315" spans="1:15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</row>
    <row r="316" spans="1:15" x14ac:dyDescent="0.3">
      <c r="A316" s="4" t="s">
        <v>202</v>
      </c>
      <c r="B316" s="4" t="s">
        <v>49</v>
      </c>
      <c r="C316" s="4" t="s">
        <v>12</v>
      </c>
      <c r="D316" s="4">
        <v>1432152</v>
      </c>
      <c r="E316" s="4">
        <v>14</v>
      </c>
      <c r="F316" s="4" t="s">
        <v>1433</v>
      </c>
      <c r="G316" s="4">
        <v>14</v>
      </c>
      <c r="H316" s="4">
        <v>0</v>
      </c>
      <c r="I316" s="4">
        <v>0</v>
      </c>
      <c r="J316" s="4"/>
      <c r="K316" s="4"/>
      <c r="L316" s="4"/>
      <c r="M316" s="4"/>
      <c r="N316" s="4"/>
      <c r="O316" s="4"/>
    </row>
    <row r="317" spans="1:15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</row>
    <row r="318" spans="1:15" x14ac:dyDescent="0.3">
      <c r="A318" s="4" t="s">
        <v>203</v>
      </c>
      <c r="B318" s="4" t="s">
        <v>49</v>
      </c>
      <c r="C318" s="4" t="s">
        <v>12</v>
      </c>
      <c r="D318" s="4">
        <v>1432164</v>
      </c>
      <c r="E318" s="4">
        <v>14</v>
      </c>
      <c r="F318" s="4" t="s">
        <v>1433</v>
      </c>
      <c r="G318" s="4">
        <v>14</v>
      </c>
      <c r="H318" s="4">
        <v>0</v>
      </c>
      <c r="I318" s="4">
        <v>0</v>
      </c>
      <c r="J318" s="4"/>
      <c r="K318" s="4"/>
      <c r="L318" s="4"/>
      <c r="M318" s="4"/>
      <c r="N318" s="4"/>
      <c r="O318" s="4"/>
    </row>
    <row r="319" spans="1:15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</row>
    <row r="320" spans="1:15" x14ac:dyDescent="0.3">
      <c r="A320" s="4" t="s">
        <v>204</v>
      </c>
      <c r="B320" s="4" t="s">
        <v>49</v>
      </c>
      <c r="C320" s="4" t="s">
        <v>12</v>
      </c>
      <c r="D320" s="4">
        <v>1514304</v>
      </c>
      <c r="E320" s="4">
        <v>20</v>
      </c>
      <c r="F320" s="4" t="s">
        <v>1433</v>
      </c>
      <c r="G320" s="4">
        <v>20</v>
      </c>
      <c r="H320" s="4">
        <v>0</v>
      </c>
      <c r="I320" s="4">
        <v>0</v>
      </c>
      <c r="J320" s="4"/>
      <c r="K320" s="4"/>
      <c r="L320" s="4"/>
      <c r="M320" s="4"/>
      <c r="N320" s="4"/>
      <c r="O320" s="4"/>
    </row>
    <row r="321" spans="1:15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</row>
    <row r="322" spans="1:15" x14ac:dyDescent="0.3">
      <c r="A322" s="4" t="s">
        <v>205</v>
      </c>
      <c r="B322" s="4" t="s">
        <v>49</v>
      </c>
      <c r="C322" s="4" t="s">
        <v>12</v>
      </c>
      <c r="D322" s="4">
        <v>1515216</v>
      </c>
      <c r="E322" s="4">
        <v>24</v>
      </c>
      <c r="F322" s="4" t="s">
        <v>1433</v>
      </c>
      <c r="G322" s="4">
        <v>24</v>
      </c>
      <c r="H322" s="4">
        <v>0</v>
      </c>
      <c r="I322" s="4">
        <v>0</v>
      </c>
      <c r="J322" s="4"/>
      <c r="K322" s="4"/>
      <c r="L322" s="4"/>
      <c r="M322" s="4"/>
      <c r="N322" s="4"/>
      <c r="O322" s="4"/>
    </row>
    <row r="323" spans="1:15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</row>
    <row r="324" spans="1:15" x14ac:dyDescent="0.3">
      <c r="A324" s="4" t="s">
        <v>206</v>
      </c>
      <c r="B324" s="4" t="s">
        <v>49</v>
      </c>
      <c r="C324" s="4" t="s">
        <v>12</v>
      </c>
      <c r="D324" s="4">
        <v>1516428</v>
      </c>
      <c r="E324" s="4">
        <v>15</v>
      </c>
      <c r="F324" s="4" t="s">
        <v>1433</v>
      </c>
      <c r="G324" s="4">
        <v>15</v>
      </c>
      <c r="H324" s="4">
        <v>0</v>
      </c>
      <c r="I324" s="4">
        <v>0</v>
      </c>
      <c r="J324" s="4"/>
      <c r="K324" s="4"/>
      <c r="L324" s="4"/>
      <c r="M324" s="4"/>
      <c r="N324" s="4"/>
      <c r="O324" s="4"/>
    </row>
    <row r="325" spans="1:15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</row>
    <row r="326" spans="1:15" x14ac:dyDescent="0.3">
      <c r="A326" s="4" t="s">
        <v>207</v>
      </c>
      <c r="B326" s="4" t="s">
        <v>49</v>
      </c>
      <c r="C326" s="4" t="s">
        <v>12</v>
      </c>
      <c r="D326" s="4">
        <v>1516578</v>
      </c>
      <c r="E326" s="4">
        <v>44</v>
      </c>
      <c r="F326" s="4" t="s">
        <v>1433</v>
      </c>
      <c r="G326" s="4">
        <v>44</v>
      </c>
      <c r="H326" s="4">
        <v>0</v>
      </c>
      <c r="I326" s="4">
        <v>0</v>
      </c>
      <c r="J326" s="4"/>
      <c r="K326" s="4"/>
      <c r="L326" s="4"/>
      <c r="M326" s="4"/>
      <c r="N326" s="4"/>
      <c r="O326" s="4"/>
    </row>
    <row r="327" spans="1:15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</row>
    <row r="328" spans="1:15" x14ac:dyDescent="0.3">
      <c r="A328" s="4" t="s">
        <v>208</v>
      </c>
      <c r="B328" s="4" t="s">
        <v>49</v>
      </c>
      <c r="C328" s="4" t="s">
        <v>12</v>
      </c>
      <c r="D328" s="4">
        <v>1516896</v>
      </c>
      <c r="E328" s="4">
        <v>15</v>
      </c>
      <c r="F328" s="4" t="s">
        <v>1433</v>
      </c>
      <c r="G328" s="4">
        <v>15</v>
      </c>
      <c r="H328" s="4">
        <v>0</v>
      </c>
      <c r="I328" s="4">
        <v>0</v>
      </c>
      <c r="J328" s="4"/>
      <c r="K328" s="4"/>
      <c r="L328" s="4"/>
      <c r="M328" s="4"/>
      <c r="N328" s="4"/>
      <c r="O328" s="4"/>
    </row>
    <row r="329" spans="1:15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</row>
    <row r="330" spans="1:15" x14ac:dyDescent="0.3">
      <c r="A330" s="4" t="s">
        <v>209</v>
      </c>
      <c r="B330" s="4" t="s">
        <v>49</v>
      </c>
      <c r="C330" s="4" t="s">
        <v>12</v>
      </c>
      <c r="D330" s="4">
        <v>1516908</v>
      </c>
      <c r="E330" s="4">
        <v>11</v>
      </c>
      <c r="F330" s="4" t="s">
        <v>1433</v>
      </c>
      <c r="G330" s="4">
        <v>11</v>
      </c>
      <c r="H330" s="4">
        <v>0</v>
      </c>
      <c r="I330" s="4">
        <v>0</v>
      </c>
      <c r="J330" s="4"/>
      <c r="K330" s="4"/>
      <c r="L330" s="4"/>
      <c r="M330" s="4"/>
      <c r="N330" s="4"/>
      <c r="O330" s="4"/>
    </row>
    <row r="331" spans="1:15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</row>
    <row r="332" spans="1:15" x14ac:dyDescent="0.3">
      <c r="A332" s="4" t="s">
        <v>210</v>
      </c>
      <c r="B332" s="4" t="s">
        <v>49</v>
      </c>
      <c r="C332" s="4" t="s">
        <v>12</v>
      </c>
      <c r="D332" s="4">
        <v>1516920</v>
      </c>
      <c r="E332" s="4">
        <v>15</v>
      </c>
      <c r="F332" s="4" t="s">
        <v>1433</v>
      </c>
      <c r="G332" s="4">
        <v>15</v>
      </c>
      <c r="H332" s="4">
        <v>0</v>
      </c>
      <c r="I332" s="4">
        <v>0</v>
      </c>
      <c r="J332" s="4"/>
      <c r="K332" s="4"/>
      <c r="L332" s="4"/>
      <c r="M332" s="4"/>
      <c r="N332" s="4"/>
      <c r="O332" s="4"/>
    </row>
    <row r="333" spans="1:15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</row>
    <row r="334" spans="1:15" x14ac:dyDescent="0.3">
      <c r="A334" s="4" t="s">
        <v>211</v>
      </c>
      <c r="B334" s="4" t="s">
        <v>49</v>
      </c>
      <c r="C334" s="4" t="s">
        <v>12</v>
      </c>
      <c r="D334" s="4">
        <v>1517484</v>
      </c>
      <c r="E334" s="4">
        <v>29</v>
      </c>
      <c r="F334" s="4" t="s">
        <v>1433</v>
      </c>
      <c r="G334" s="4">
        <v>29</v>
      </c>
      <c r="H334" s="4">
        <v>0</v>
      </c>
      <c r="I334" s="4">
        <v>0</v>
      </c>
      <c r="J334" s="4"/>
      <c r="K334" s="4"/>
      <c r="L334" s="4"/>
      <c r="M334" s="4"/>
      <c r="N334" s="4"/>
      <c r="O334" s="4"/>
    </row>
    <row r="335" spans="1:15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</row>
    <row r="336" spans="1:15" x14ac:dyDescent="0.3">
      <c r="A336" s="4" t="s">
        <v>212</v>
      </c>
      <c r="B336" s="4" t="s">
        <v>49</v>
      </c>
      <c r="C336" s="4" t="s">
        <v>12</v>
      </c>
      <c r="D336" s="4">
        <v>1517616</v>
      </c>
      <c r="E336" s="4">
        <v>16</v>
      </c>
      <c r="F336" s="4" t="s">
        <v>1433</v>
      </c>
      <c r="G336" s="4">
        <v>16</v>
      </c>
      <c r="H336" s="4">
        <v>0</v>
      </c>
      <c r="I336" s="4">
        <v>0</v>
      </c>
      <c r="J336" s="4"/>
      <c r="K336" s="4"/>
      <c r="L336" s="4"/>
      <c r="M336" s="4"/>
      <c r="N336" s="4"/>
      <c r="O336" s="4"/>
    </row>
    <row r="337" spans="1:15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</row>
    <row r="338" spans="1:15" x14ac:dyDescent="0.3">
      <c r="A338" s="4" t="s">
        <v>213</v>
      </c>
      <c r="B338" s="4" t="s">
        <v>49</v>
      </c>
      <c r="C338" s="4" t="s">
        <v>12</v>
      </c>
      <c r="D338" s="4">
        <v>1519218</v>
      </c>
      <c r="E338" s="4">
        <v>16</v>
      </c>
      <c r="F338" s="4" t="s">
        <v>1433</v>
      </c>
      <c r="G338" s="4">
        <v>16</v>
      </c>
      <c r="H338" s="4">
        <v>0</v>
      </c>
      <c r="I338" s="4">
        <v>0</v>
      </c>
      <c r="J338" s="4"/>
      <c r="K338" s="4"/>
      <c r="L338" s="4"/>
      <c r="M338" s="4"/>
      <c r="N338" s="4"/>
      <c r="O338" s="4"/>
    </row>
    <row r="339" spans="1:15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</row>
    <row r="340" spans="1:15" x14ac:dyDescent="0.3">
      <c r="A340" s="4" t="s">
        <v>214</v>
      </c>
      <c r="B340" s="4" t="s">
        <v>49</v>
      </c>
      <c r="C340" s="4" t="s">
        <v>12</v>
      </c>
      <c r="D340" s="4">
        <v>1519710</v>
      </c>
      <c r="E340" s="4">
        <v>23</v>
      </c>
      <c r="F340" s="4" t="s">
        <v>1433</v>
      </c>
      <c r="G340" s="4">
        <v>23</v>
      </c>
      <c r="H340" s="4">
        <v>0</v>
      </c>
      <c r="I340" s="4">
        <v>0</v>
      </c>
      <c r="J340" s="4"/>
      <c r="K340" s="4"/>
      <c r="L340" s="4"/>
      <c r="M340" s="4"/>
      <c r="N340" s="4"/>
      <c r="O340" s="4"/>
    </row>
    <row r="341" spans="1:15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</row>
    <row r="342" spans="1:15" x14ac:dyDescent="0.3">
      <c r="A342" s="4" t="s">
        <v>215</v>
      </c>
      <c r="B342" s="4" t="s">
        <v>49</v>
      </c>
      <c r="C342" s="4" t="s">
        <v>12</v>
      </c>
      <c r="D342" s="4">
        <v>1521786</v>
      </c>
      <c r="E342" s="4">
        <v>26</v>
      </c>
      <c r="F342" s="4" t="s">
        <v>1433</v>
      </c>
      <c r="G342" s="4">
        <v>26</v>
      </c>
      <c r="H342" s="4">
        <v>0</v>
      </c>
      <c r="I342" s="4">
        <v>0</v>
      </c>
      <c r="J342" s="4"/>
      <c r="K342" s="4"/>
      <c r="L342" s="4"/>
      <c r="M342" s="4"/>
      <c r="N342" s="4"/>
      <c r="O342" s="4"/>
    </row>
    <row r="343" spans="1:15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</row>
    <row r="344" spans="1:15" x14ac:dyDescent="0.3">
      <c r="A344" s="4" t="s">
        <v>216</v>
      </c>
      <c r="B344" s="4" t="s">
        <v>49</v>
      </c>
      <c r="C344" s="4" t="s">
        <v>12</v>
      </c>
      <c r="D344" s="4">
        <v>1521810</v>
      </c>
      <c r="E344" s="4">
        <v>12</v>
      </c>
      <c r="F344" s="4" t="s">
        <v>1433</v>
      </c>
      <c r="G344" s="4">
        <v>12</v>
      </c>
      <c r="H344" s="4">
        <v>0</v>
      </c>
      <c r="I344" s="4">
        <v>0</v>
      </c>
      <c r="J344" s="4"/>
      <c r="K344" s="4"/>
      <c r="L344" s="4"/>
      <c r="M344" s="4"/>
      <c r="N344" s="4"/>
      <c r="O344" s="4"/>
    </row>
    <row r="345" spans="1:15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</row>
    <row r="346" spans="1:15" x14ac:dyDescent="0.3">
      <c r="A346" s="4" t="s">
        <v>217</v>
      </c>
      <c r="B346" s="4" t="s">
        <v>49</v>
      </c>
      <c r="C346" s="4" t="s">
        <v>12</v>
      </c>
      <c r="D346" s="4">
        <v>1521816</v>
      </c>
      <c r="E346" s="4">
        <v>27</v>
      </c>
      <c r="F346" s="4" t="s">
        <v>1433</v>
      </c>
      <c r="G346" s="4">
        <v>27</v>
      </c>
      <c r="H346" s="4">
        <v>0</v>
      </c>
      <c r="I346" s="4">
        <v>0</v>
      </c>
      <c r="J346" s="4"/>
      <c r="K346" s="4"/>
      <c r="L346" s="4"/>
      <c r="M346" s="4"/>
      <c r="N346" s="4"/>
      <c r="O346" s="4"/>
    </row>
    <row r="347" spans="1:15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</row>
    <row r="348" spans="1:15" x14ac:dyDescent="0.3">
      <c r="A348" s="4" t="s">
        <v>218</v>
      </c>
      <c r="B348" s="4" t="s">
        <v>49</v>
      </c>
      <c r="C348" s="4" t="s">
        <v>12</v>
      </c>
      <c r="D348" s="4">
        <v>1524702</v>
      </c>
      <c r="E348" s="4">
        <v>18</v>
      </c>
      <c r="F348" s="4" t="s">
        <v>1433</v>
      </c>
      <c r="G348" s="4">
        <v>18</v>
      </c>
      <c r="H348" s="4">
        <v>0</v>
      </c>
      <c r="I348" s="4">
        <v>0</v>
      </c>
      <c r="J348" s="4"/>
      <c r="K348" s="4"/>
      <c r="L348" s="4"/>
      <c r="M348" s="4"/>
      <c r="N348" s="4"/>
      <c r="O348" s="4"/>
    </row>
    <row r="349" spans="1:15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</row>
    <row r="350" spans="1:15" x14ac:dyDescent="0.3">
      <c r="A350" s="4" t="s">
        <v>219</v>
      </c>
      <c r="B350" s="4" t="s">
        <v>49</v>
      </c>
      <c r="C350" s="4" t="s">
        <v>12</v>
      </c>
      <c r="D350" s="4">
        <v>1526844</v>
      </c>
      <c r="E350" s="4">
        <v>51</v>
      </c>
      <c r="F350" s="4" t="s">
        <v>1433</v>
      </c>
      <c r="G350" s="4">
        <v>51</v>
      </c>
      <c r="H350" s="4">
        <v>0</v>
      </c>
      <c r="I350" s="4">
        <v>0</v>
      </c>
      <c r="J350" s="4"/>
      <c r="K350" s="4"/>
      <c r="L350" s="4"/>
      <c r="M350" s="4"/>
      <c r="N350" s="4"/>
      <c r="O350" s="4"/>
    </row>
    <row r="351" spans="1:15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</row>
    <row r="352" spans="1:15" x14ac:dyDescent="0.3">
      <c r="A352" s="4" t="s">
        <v>220</v>
      </c>
      <c r="B352" s="4" t="s">
        <v>49</v>
      </c>
      <c r="C352" s="4" t="s">
        <v>12</v>
      </c>
      <c r="D352" s="4">
        <v>1535478</v>
      </c>
      <c r="E352" s="4">
        <v>42</v>
      </c>
      <c r="F352" s="4" t="s">
        <v>1433</v>
      </c>
      <c r="G352" s="4">
        <v>42</v>
      </c>
      <c r="H352" s="4">
        <v>0</v>
      </c>
      <c r="I352" s="4">
        <v>0</v>
      </c>
      <c r="J352" s="4"/>
      <c r="K352" s="4"/>
      <c r="L352" s="4"/>
      <c r="M352" s="4"/>
      <c r="N352" s="4"/>
      <c r="O352" s="4"/>
    </row>
    <row r="353" spans="1:15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</row>
    <row r="354" spans="1:15" x14ac:dyDescent="0.3">
      <c r="A354" s="4" t="s">
        <v>221</v>
      </c>
      <c r="B354" s="4" t="s">
        <v>49</v>
      </c>
      <c r="C354" s="4" t="s">
        <v>12</v>
      </c>
      <c r="D354" s="4">
        <v>1536252</v>
      </c>
      <c r="E354" s="4">
        <v>47</v>
      </c>
      <c r="F354" s="4" t="s">
        <v>1433</v>
      </c>
      <c r="G354" s="4">
        <v>47</v>
      </c>
      <c r="H354" s="4">
        <v>0</v>
      </c>
      <c r="I354" s="4">
        <v>0</v>
      </c>
      <c r="J354" s="4"/>
      <c r="K354" s="4"/>
      <c r="L354" s="4"/>
      <c r="M354" s="4"/>
      <c r="N354" s="4"/>
      <c r="O354" s="4"/>
    </row>
    <row r="355" spans="1:15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</row>
    <row r="356" spans="1:15" x14ac:dyDescent="0.3">
      <c r="A356" s="4" t="s">
        <v>222</v>
      </c>
      <c r="B356" s="4" t="s">
        <v>49</v>
      </c>
      <c r="C356" s="4" t="s">
        <v>12</v>
      </c>
      <c r="D356" s="4">
        <v>1536726</v>
      </c>
      <c r="E356" s="4">
        <v>89</v>
      </c>
      <c r="F356" s="4" t="s">
        <v>1433</v>
      </c>
      <c r="G356" s="4">
        <v>89</v>
      </c>
      <c r="H356" s="4">
        <v>0</v>
      </c>
      <c r="I356" s="4">
        <v>0</v>
      </c>
      <c r="J356" s="4"/>
      <c r="K356" s="4"/>
      <c r="L356" s="4"/>
      <c r="M356" s="4"/>
      <c r="N356" s="4"/>
      <c r="O356" s="4"/>
    </row>
    <row r="357" spans="1:15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</row>
    <row r="358" spans="1:15" x14ac:dyDescent="0.3">
      <c r="A358" s="4" t="s">
        <v>223</v>
      </c>
      <c r="B358" s="4" t="s">
        <v>49</v>
      </c>
      <c r="C358" s="4" t="s">
        <v>12</v>
      </c>
      <c r="D358" s="4">
        <v>1538160</v>
      </c>
      <c r="E358" s="4">
        <v>13</v>
      </c>
      <c r="F358" s="4" t="s">
        <v>1433</v>
      </c>
      <c r="G358" s="4">
        <v>13</v>
      </c>
      <c r="H358" s="4">
        <v>0</v>
      </c>
      <c r="I358" s="4">
        <v>0</v>
      </c>
      <c r="J358" s="4"/>
      <c r="K358" s="4"/>
      <c r="L358" s="4"/>
      <c r="M358" s="4"/>
      <c r="N358" s="4"/>
      <c r="O358" s="4"/>
    </row>
    <row r="359" spans="1:15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</row>
    <row r="360" spans="1:15" x14ac:dyDescent="0.3">
      <c r="A360" s="4" t="s">
        <v>224</v>
      </c>
      <c r="B360" s="4" t="s">
        <v>49</v>
      </c>
      <c r="C360" s="4" t="s">
        <v>12</v>
      </c>
      <c r="D360" s="4">
        <v>1538178</v>
      </c>
      <c r="E360" s="4">
        <v>13</v>
      </c>
      <c r="F360" s="4" t="s">
        <v>1433</v>
      </c>
      <c r="G360" s="4">
        <v>13</v>
      </c>
      <c r="H360" s="4">
        <v>0</v>
      </c>
      <c r="I360" s="4">
        <v>0</v>
      </c>
      <c r="J360" s="4"/>
      <c r="K360" s="4"/>
      <c r="L360" s="4"/>
      <c r="M360" s="4"/>
      <c r="N360" s="4"/>
      <c r="O360" s="4"/>
    </row>
    <row r="361" spans="1:15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</row>
    <row r="362" spans="1:15" x14ac:dyDescent="0.3">
      <c r="A362" s="4" t="s">
        <v>225</v>
      </c>
      <c r="B362" s="4" t="s">
        <v>49</v>
      </c>
      <c r="C362" s="4" t="s">
        <v>12</v>
      </c>
      <c r="D362" s="4">
        <v>1540074</v>
      </c>
      <c r="E362" s="4">
        <v>19</v>
      </c>
      <c r="F362" s="4" t="s">
        <v>1433</v>
      </c>
      <c r="G362" s="4">
        <v>19</v>
      </c>
      <c r="H362" s="4">
        <v>0</v>
      </c>
      <c r="I362" s="4">
        <v>0</v>
      </c>
      <c r="J362" s="4"/>
      <c r="K362" s="4"/>
      <c r="L362" s="4"/>
      <c r="M362" s="4"/>
      <c r="N362" s="4"/>
      <c r="O362" s="4"/>
    </row>
    <row r="363" spans="1:15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</row>
    <row r="364" spans="1:15" x14ac:dyDescent="0.3">
      <c r="A364" s="4" t="s">
        <v>226</v>
      </c>
      <c r="B364" s="4" t="s">
        <v>49</v>
      </c>
      <c r="C364" s="4" t="s">
        <v>12</v>
      </c>
      <c r="D364" s="4">
        <v>1540086</v>
      </c>
      <c r="E364" s="4">
        <v>22</v>
      </c>
      <c r="F364" s="4" t="s">
        <v>1433</v>
      </c>
      <c r="G364" s="4">
        <v>22</v>
      </c>
      <c r="H364" s="4">
        <v>0</v>
      </c>
      <c r="I364" s="4">
        <v>0</v>
      </c>
      <c r="J364" s="4"/>
      <c r="K364" s="4"/>
      <c r="L364" s="4"/>
      <c r="M364" s="4"/>
      <c r="N364" s="4"/>
      <c r="O364" s="4"/>
    </row>
    <row r="365" spans="1:15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</row>
    <row r="366" spans="1:15" x14ac:dyDescent="0.3">
      <c r="A366" s="4" t="s">
        <v>227</v>
      </c>
      <c r="B366" s="4" t="s">
        <v>49</v>
      </c>
      <c r="C366" s="4" t="s">
        <v>12</v>
      </c>
      <c r="D366" s="4">
        <v>1542396</v>
      </c>
      <c r="E366" s="4">
        <v>26</v>
      </c>
      <c r="F366" s="4" t="s">
        <v>1433</v>
      </c>
      <c r="G366" s="4">
        <v>26</v>
      </c>
      <c r="H366" s="4">
        <v>0</v>
      </c>
      <c r="I366" s="4">
        <v>0</v>
      </c>
      <c r="J366" s="4"/>
      <c r="K366" s="4"/>
      <c r="L366" s="4"/>
      <c r="M366" s="4"/>
      <c r="N366" s="4"/>
      <c r="O366" s="4"/>
    </row>
    <row r="367" spans="1:15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</row>
    <row r="368" spans="1:15" x14ac:dyDescent="0.3">
      <c r="A368" s="4" t="s">
        <v>228</v>
      </c>
      <c r="B368" s="4" t="s">
        <v>49</v>
      </c>
      <c r="C368" s="4" t="s">
        <v>12</v>
      </c>
      <c r="D368" s="4">
        <v>1542462</v>
      </c>
      <c r="E368" s="4">
        <v>12</v>
      </c>
      <c r="F368" s="4" t="s">
        <v>1433</v>
      </c>
      <c r="G368" s="4">
        <v>12</v>
      </c>
      <c r="H368" s="4">
        <v>0</v>
      </c>
      <c r="I368" s="4">
        <v>0</v>
      </c>
      <c r="J368" s="4"/>
      <c r="K368" s="4"/>
      <c r="L368" s="4"/>
      <c r="M368" s="4"/>
      <c r="N368" s="4"/>
      <c r="O368" s="4"/>
    </row>
    <row r="369" spans="1:15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</row>
    <row r="370" spans="1:15" x14ac:dyDescent="0.3">
      <c r="A370" s="4" t="s">
        <v>229</v>
      </c>
      <c r="B370" s="4" t="s">
        <v>49</v>
      </c>
      <c r="C370" s="4" t="s">
        <v>12</v>
      </c>
      <c r="D370" s="4">
        <v>1542804</v>
      </c>
      <c r="E370" s="4">
        <v>22</v>
      </c>
      <c r="F370" s="4" t="s">
        <v>1433</v>
      </c>
      <c r="G370" s="4">
        <v>22</v>
      </c>
      <c r="H370" s="4">
        <v>0</v>
      </c>
      <c r="I370" s="4">
        <v>0</v>
      </c>
      <c r="J370" s="4"/>
      <c r="K370" s="4"/>
      <c r="L370" s="4"/>
      <c r="M370" s="4"/>
      <c r="N370" s="4"/>
      <c r="O370" s="4"/>
    </row>
    <row r="371" spans="1:15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</row>
    <row r="372" spans="1:15" x14ac:dyDescent="0.3">
      <c r="A372" s="4" t="s">
        <v>230</v>
      </c>
      <c r="B372" s="4" t="s">
        <v>49</v>
      </c>
      <c r="C372" s="4" t="s">
        <v>12</v>
      </c>
      <c r="D372" s="4">
        <v>1542816</v>
      </c>
      <c r="E372" s="4">
        <v>22</v>
      </c>
      <c r="F372" s="4" t="s">
        <v>1433</v>
      </c>
      <c r="G372" s="4">
        <v>22</v>
      </c>
      <c r="H372" s="4">
        <v>0</v>
      </c>
      <c r="I372" s="4">
        <v>0</v>
      </c>
      <c r="J372" s="4"/>
      <c r="K372" s="4"/>
      <c r="L372" s="4"/>
      <c r="M372" s="4"/>
      <c r="N372" s="4"/>
      <c r="O372" s="4"/>
    </row>
    <row r="373" spans="1:15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</row>
    <row r="374" spans="1:15" x14ac:dyDescent="0.3">
      <c r="A374" s="4" t="s">
        <v>231</v>
      </c>
      <c r="B374" s="4" t="s">
        <v>49</v>
      </c>
      <c r="C374" s="4" t="s">
        <v>12</v>
      </c>
      <c r="D374" s="4">
        <v>1543242</v>
      </c>
      <c r="E374" s="4">
        <v>44</v>
      </c>
      <c r="F374" s="4" t="s">
        <v>1433</v>
      </c>
      <c r="G374" s="4">
        <v>44</v>
      </c>
      <c r="H374" s="4">
        <v>0</v>
      </c>
      <c r="I374" s="4">
        <v>0</v>
      </c>
      <c r="J374" s="4"/>
      <c r="K374" s="4"/>
      <c r="L374" s="4"/>
      <c r="M374" s="4"/>
      <c r="N374" s="4"/>
      <c r="O374" s="4"/>
    </row>
    <row r="375" spans="1:15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</row>
    <row r="376" spans="1:15" x14ac:dyDescent="0.3">
      <c r="A376" s="4" t="s">
        <v>232</v>
      </c>
      <c r="B376" s="4" t="s">
        <v>49</v>
      </c>
      <c r="C376" s="4" t="s">
        <v>12</v>
      </c>
      <c r="D376" s="4">
        <v>1543332</v>
      </c>
      <c r="E376" s="4">
        <v>9</v>
      </c>
      <c r="F376" s="4" t="s">
        <v>1433</v>
      </c>
      <c r="G376" s="4">
        <v>9</v>
      </c>
      <c r="H376" s="4">
        <v>0</v>
      </c>
      <c r="I376" s="4">
        <v>0</v>
      </c>
      <c r="J376" s="4"/>
      <c r="K376" s="4"/>
      <c r="L376" s="4"/>
      <c r="M376" s="4"/>
      <c r="N376" s="4"/>
      <c r="O376" s="4"/>
    </row>
    <row r="377" spans="1:15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</row>
    <row r="378" spans="1:15" x14ac:dyDescent="0.3">
      <c r="A378" s="4" t="s">
        <v>233</v>
      </c>
      <c r="B378" s="4" t="s">
        <v>49</v>
      </c>
      <c r="C378" s="4" t="s">
        <v>12</v>
      </c>
      <c r="D378" s="4">
        <v>1543422</v>
      </c>
      <c r="E378" s="4">
        <v>28</v>
      </c>
      <c r="F378" s="4" t="s">
        <v>1433</v>
      </c>
      <c r="G378" s="4">
        <v>28</v>
      </c>
      <c r="H378" s="4">
        <v>0</v>
      </c>
      <c r="I378" s="4">
        <v>0</v>
      </c>
      <c r="J378" s="4"/>
      <c r="K378" s="4"/>
      <c r="L378" s="4"/>
      <c r="M378" s="4"/>
      <c r="N378" s="4"/>
      <c r="O378" s="4"/>
    </row>
    <row r="379" spans="1:15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</row>
    <row r="380" spans="1:15" x14ac:dyDescent="0.3">
      <c r="A380" s="4" t="s">
        <v>234</v>
      </c>
      <c r="B380" s="4" t="s">
        <v>49</v>
      </c>
      <c r="C380" s="4" t="s">
        <v>12</v>
      </c>
      <c r="D380" s="4">
        <v>1543428</v>
      </c>
      <c r="E380" s="4">
        <v>33</v>
      </c>
      <c r="F380" s="4" t="s">
        <v>1433</v>
      </c>
      <c r="G380" s="4">
        <v>33</v>
      </c>
      <c r="H380" s="4">
        <v>0</v>
      </c>
      <c r="I380" s="4">
        <v>0</v>
      </c>
      <c r="J380" s="4"/>
      <c r="K380" s="4"/>
      <c r="L380" s="4"/>
      <c r="M380" s="4"/>
      <c r="N380" s="4"/>
      <c r="O380" s="4"/>
    </row>
    <row r="381" spans="1:15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</row>
    <row r="382" spans="1:15" x14ac:dyDescent="0.3">
      <c r="A382" s="4" t="s">
        <v>235</v>
      </c>
      <c r="B382" s="4" t="s">
        <v>49</v>
      </c>
      <c r="C382" s="4" t="s">
        <v>12</v>
      </c>
      <c r="D382" s="4">
        <v>1544106</v>
      </c>
      <c r="E382" s="4">
        <v>26</v>
      </c>
      <c r="F382" s="4" t="s">
        <v>1433</v>
      </c>
      <c r="G382" s="4">
        <v>26</v>
      </c>
      <c r="H382" s="4">
        <v>0</v>
      </c>
      <c r="I382" s="4">
        <v>0</v>
      </c>
      <c r="J382" s="4"/>
      <c r="K382" s="4"/>
      <c r="L382" s="4"/>
      <c r="M382" s="4"/>
      <c r="N382" s="4"/>
      <c r="O382" s="4"/>
    </row>
    <row r="383" spans="1:15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</row>
    <row r="384" spans="1:15" x14ac:dyDescent="0.3">
      <c r="A384" s="4" t="s">
        <v>236</v>
      </c>
      <c r="B384" s="4" t="s">
        <v>49</v>
      </c>
      <c r="C384" s="4" t="s">
        <v>12</v>
      </c>
      <c r="D384" s="4">
        <v>1544322</v>
      </c>
      <c r="E384" s="4">
        <v>56</v>
      </c>
      <c r="F384" s="4" t="s">
        <v>1433</v>
      </c>
      <c r="G384" s="4">
        <v>56</v>
      </c>
      <c r="H384" s="4">
        <v>0</v>
      </c>
      <c r="I384" s="4">
        <v>0</v>
      </c>
      <c r="J384" s="4"/>
      <c r="K384" s="4"/>
      <c r="L384" s="4"/>
      <c r="M384" s="4"/>
      <c r="N384" s="4"/>
      <c r="O384" s="4"/>
    </row>
    <row r="385" spans="1:15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</row>
    <row r="386" spans="1:15" x14ac:dyDescent="0.3">
      <c r="A386" s="4" t="s">
        <v>237</v>
      </c>
      <c r="B386" s="4" t="s">
        <v>49</v>
      </c>
      <c r="C386" s="4" t="s">
        <v>12</v>
      </c>
      <c r="D386" s="4">
        <v>1544538</v>
      </c>
      <c r="E386" s="4">
        <v>10</v>
      </c>
      <c r="F386" s="4" t="s">
        <v>1433</v>
      </c>
      <c r="G386" s="4">
        <v>10</v>
      </c>
      <c r="H386" s="4">
        <v>0</v>
      </c>
      <c r="I386" s="4">
        <v>0</v>
      </c>
      <c r="J386" s="4"/>
      <c r="K386" s="4"/>
      <c r="L386" s="4"/>
      <c r="M386" s="4"/>
      <c r="N386" s="4"/>
      <c r="O386" s="4"/>
    </row>
    <row r="387" spans="1:15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</row>
    <row r="388" spans="1:15" x14ac:dyDescent="0.3">
      <c r="A388" s="4" t="s">
        <v>238</v>
      </c>
      <c r="B388" s="4" t="s">
        <v>49</v>
      </c>
      <c r="C388" s="4" t="s">
        <v>12</v>
      </c>
      <c r="D388" s="4">
        <v>1544628</v>
      </c>
      <c r="E388" s="4">
        <v>13</v>
      </c>
      <c r="F388" s="4" t="s">
        <v>1433</v>
      </c>
      <c r="G388" s="4">
        <v>13</v>
      </c>
      <c r="H388" s="4">
        <v>0</v>
      </c>
      <c r="I388" s="4">
        <v>0</v>
      </c>
      <c r="J388" s="4"/>
      <c r="K388" s="4"/>
      <c r="L388" s="4"/>
      <c r="M388" s="4"/>
      <c r="N388" s="4"/>
      <c r="O388" s="4"/>
    </row>
    <row r="389" spans="1:15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</row>
    <row r="390" spans="1:15" x14ac:dyDescent="0.3">
      <c r="A390" s="4" t="s">
        <v>239</v>
      </c>
      <c r="B390" s="4" t="s">
        <v>49</v>
      </c>
      <c r="C390" s="4" t="s">
        <v>12</v>
      </c>
      <c r="D390" s="4">
        <v>1544808</v>
      </c>
      <c r="E390" s="4">
        <v>17</v>
      </c>
      <c r="F390" s="4" t="s">
        <v>1433</v>
      </c>
      <c r="G390" s="4">
        <v>17</v>
      </c>
      <c r="H390" s="4">
        <v>0</v>
      </c>
      <c r="I390" s="4">
        <v>0</v>
      </c>
      <c r="J390" s="4"/>
      <c r="K390" s="4"/>
      <c r="L390" s="4"/>
      <c r="M390" s="4"/>
      <c r="N390" s="4"/>
      <c r="O390" s="4"/>
    </row>
    <row r="391" spans="1:15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</row>
    <row r="392" spans="1:15" x14ac:dyDescent="0.3">
      <c r="A392" s="4" t="s">
        <v>240</v>
      </c>
      <c r="B392" s="4" t="s">
        <v>49</v>
      </c>
      <c r="C392" s="4" t="s">
        <v>12</v>
      </c>
      <c r="D392" s="4">
        <v>1544814</v>
      </c>
      <c r="E392" s="4">
        <v>13</v>
      </c>
      <c r="F392" s="4" t="s">
        <v>1433</v>
      </c>
      <c r="G392" s="4">
        <v>13</v>
      </c>
      <c r="H392" s="4">
        <v>0</v>
      </c>
      <c r="I392" s="4">
        <v>0</v>
      </c>
      <c r="J392" s="4"/>
      <c r="K392" s="4"/>
      <c r="L392" s="4"/>
      <c r="M392" s="4"/>
      <c r="N392" s="4"/>
      <c r="O392" s="4"/>
    </row>
    <row r="393" spans="1:15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</row>
    <row r="394" spans="1:15" x14ac:dyDescent="0.3">
      <c r="A394" s="4" t="s">
        <v>241</v>
      </c>
      <c r="B394" s="4" t="s">
        <v>49</v>
      </c>
      <c r="C394" s="4" t="s">
        <v>12</v>
      </c>
      <c r="D394" s="4">
        <v>1544946</v>
      </c>
      <c r="E394" s="4">
        <v>144</v>
      </c>
      <c r="F394" s="4" t="s">
        <v>1433</v>
      </c>
      <c r="G394" s="4">
        <v>144</v>
      </c>
      <c r="H394" s="4">
        <v>0</v>
      </c>
      <c r="I394" s="4">
        <v>0</v>
      </c>
      <c r="J394" s="4"/>
      <c r="K394" s="4"/>
      <c r="L394" s="4"/>
      <c r="M394" s="4"/>
      <c r="N394" s="4"/>
      <c r="O394" s="4"/>
    </row>
    <row r="395" spans="1:15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</row>
    <row r="396" spans="1:15" x14ac:dyDescent="0.3">
      <c r="A396" s="4" t="s">
        <v>242</v>
      </c>
      <c r="B396" s="4" t="s">
        <v>49</v>
      </c>
      <c r="C396" s="4" t="s">
        <v>12</v>
      </c>
      <c r="D396" s="4">
        <v>1549182</v>
      </c>
      <c r="E396" s="4">
        <v>177</v>
      </c>
      <c r="F396" s="4" t="s">
        <v>1433</v>
      </c>
      <c r="G396" s="4">
        <v>177</v>
      </c>
      <c r="H396" s="4">
        <v>0</v>
      </c>
      <c r="I396" s="4">
        <v>0</v>
      </c>
      <c r="J396" s="4"/>
      <c r="K396" s="4"/>
      <c r="L396" s="4"/>
      <c r="M396" s="4"/>
      <c r="N396" s="4"/>
      <c r="O396" s="4"/>
    </row>
    <row r="397" spans="1:15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</row>
    <row r="398" spans="1:15" x14ac:dyDescent="0.3">
      <c r="A398" s="4" t="s">
        <v>243</v>
      </c>
      <c r="B398" s="4" t="s">
        <v>49</v>
      </c>
      <c r="C398" s="4" t="s">
        <v>12</v>
      </c>
      <c r="D398" s="4">
        <v>1593330</v>
      </c>
      <c r="E398" s="4">
        <v>17</v>
      </c>
      <c r="F398" s="4" t="s">
        <v>1433</v>
      </c>
      <c r="G398" s="4">
        <v>17</v>
      </c>
      <c r="H398" s="4">
        <v>0</v>
      </c>
      <c r="I398" s="4">
        <v>0</v>
      </c>
      <c r="J398" s="4"/>
      <c r="K398" s="4"/>
      <c r="L398" s="4"/>
      <c r="M398" s="4"/>
      <c r="N398" s="4"/>
      <c r="O398" s="4"/>
    </row>
    <row r="399" spans="1:15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</row>
    <row r="400" spans="1:15" x14ac:dyDescent="0.3">
      <c r="A400" s="4" t="s">
        <v>244</v>
      </c>
      <c r="B400" s="4" t="s">
        <v>49</v>
      </c>
      <c r="C400" s="4" t="s">
        <v>12</v>
      </c>
      <c r="D400" s="4">
        <v>1594506</v>
      </c>
      <c r="E400" s="4">
        <v>59</v>
      </c>
      <c r="F400" s="4" t="s">
        <v>1433</v>
      </c>
      <c r="G400" s="4">
        <v>59</v>
      </c>
      <c r="H400" s="4">
        <v>0</v>
      </c>
      <c r="I400" s="4">
        <v>0</v>
      </c>
      <c r="J400" s="4"/>
      <c r="K400" s="4"/>
      <c r="L400" s="4"/>
      <c r="M400" s="4"/>
      <c r="N400" s="4"/>
      <c r="O400" s="4"/>
    </row>
    <row r="401" spans="1:15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</row>
    <row r="402" spans="1:15" x14ac:dyDescent="0.3">
      <c r="A402" s="4" t="s">
        <v>245</v>
      </c>
      <c r="B402" s="4" t="s">
        <v>49</v>
      </c>
      <c r="C402" s="4" t="s">
        <v>12</v>
      </c>
      <c r="D402" s="4">
        <v>1595274</v>
      </c>
      <c r="E402" s="4">
        <v>11</v>
      </c>
      <c r="F402" s="4" t="s">
        <v>1433</v>
      </c>
      <c r="G402" s="4">
        <v>11</v>
      </c>
      <c r="H402" s="4">
        <v>0</v>
      </c>
      <c r="I402" s="4">
        <v>0</v>
      </c>
      <c r="J402" s="4"/>
      <c r="K402" s="4"/>
      <c r="L402" s="4"/>
      <c r="M402" s="4"/>
      <c r="N402" s="4"/>
      <c r="O402" s="4"/>
    </row>
    <row r="403" spans="1:15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</row>
    <row r="404" spans="1:15" x14ac:dyDescent="0.3">
      <c r="A404" s="4" t="s">
        <v>246</v>
      </c>
      <c r="B404" s="4" t="s">
        <v>49</v>
      </c>
      <c r="C404" s="4" t="s">
        <v>12</v>
      </c>
      <c r="D404" s="4">
        <v>1595820</v>
      </c>
      <c r="E404" s="4">
        <v>8</v>
      </c>
      <c r="F404" s="4" t="s">
        <v>1433</v>
      </c>
      <c r="G404" s="4">
        <v>8</v>
      </c>
      <c r="H404" s="4">
        <v>0</v>
      </c>
      <c r="I404" s="4">
        <v>0</v>
      </c>
      <c r="J404" s="4"/>
      <c r="K404" s="4"/>
      <c r="L404" s="4"/>
      <c r="M404" s="4"/>
      <c r="N404" s="4"/>
      <c r="O404" s="4"/>
    </row>
    <row r="405" spans="1:15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</row>
    <row r="406" spans="1:15" x14ac:dyDescent="0.3">
      <c r="A406" s="4" t="s">
        <v>247</v>
      </c>
      <c r="B406" s="4" t="s">
        <v>49</v>
      </c>
      <c r="C406" s="4" t="s">
        <v>12</v>
      </c>
      <c r="D406" s="4">
        <v>1601934</v>
      </c>
      <c r="E406" s="4">
        <v>17</v>
      </c>
      <c r="F406" s="4" t="s">
        <v>1433</v>
      </c>
      <c r="G406" s="4">
        <v>17</v>
      </c>
      <c r="H406" s="4">
        <v>0</v>
      </c>
      <c r="I406" s="4">
        <v>0</v>
      </c>
      <c r="J406" s="4"/>
      <c r="K406" s="4"/>
      <c r="L406" s="4"/>
      <c r="M406" s="4"/>
      <c r="N406" s="4"/>
      <c r="O406" s="4"/>
    </row>
    <row r="407" spans="1:15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</row>
    <row r="408" spans="1:15" x14ac:dyDescent="0.3">
      <c r="A408" s="4" t="s">
        <v>248</v>
      </c>
      <c r="B408" s="4" t="s">
        <v>49</v>
      </c>
      <c r="C408" s="4" t="s">
        <v>12</v>
      </c>
      <c r="D408" s="4">
        <v>1606986</v>
      </c>
      <c r="E408" s="4">
        <v>41</v>
      </c>
      <c r="F408" s="4" t="s">
        <v>1433</v>
      </c>
      <c r="G408" s="4">
        <v>41</v>
      </c>
      <c r="H408" s="4">
        <v>0</v>
      </c>
      <c r="I408" s="4">
        <v>0</v>
      </c>
      <c r="J408" s="4"/>
      <c r="K408" s="4"/>
      <c r="L408" s="4"/>
      <c r="M408" s="4"/>
      <c r="N408" s="4"/>
      <c r="O408" s="4"/>
    </row>
    <row r="409" spans="1:15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</row>
    <row r="410" spans="1:15" x14ac:dyDescent="0.3">
      <c r="A410" s="4" t="s">
        <v>249</v>
      </c>
      <c r="B410" s="4" t="s">
        <v>49</v>
      </c>
      <c r="C410" s="4" t="s">
        <v>12</v>
      </c>
      <c r="D410" s="4">
        <v>1607904</v>
      </c>
      <c r="E410" s="4">
        <v>227</v>
      </c>
      <c r="F410" s="4" t="s">
        <v>1433</v>
      </c>
      <c r="G410" s="4">
        <v>227</v>
      </c>
      <c r="H410" s="4">
        <v>0</v>
      </c>
      <c r="I410" s="4">
        <v>0</v>
      </c>
      <c r="J410" s="4"/>
      <c r="K410" s="4"/>
      <c r="L410" s="4"/>
      <c r="M410" s="4"/>
      <c r="N410" s="4"/>
      <c r="O410" s="4"/>
    </row>
    <row r="411" spans="1:15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</row>
    <row r="412" spans="1:15" x14ac:dyDescent="0.3">
      <c r="A412" s="4" t="s">
        <v>250</v>
      </c>
      <c r="B412" s="4" t="s">
        <v>49</v>
      </c>
      <c r="C412" s="4" t="s">
        <v>12</v>
      </c>
      <c r="D412" s="4">
        <v>1609518</v>
      </c>
      <c r="E412" s="4">
        <v>55</v>
      </c>
      <c r="F412" s="4" t="s">
        <v>1433</v>
      </c>
      <c r="G412" s="4">
        <v>55</v>
      </c>
      <c r="H412" s="4">
        <v>0</v>
      </c>
      <c r="I412" s="4">
        <v>0</v>
      </c>
      <c r="J412" s="4"/>
      <c r="K412" s="4"/>
      <c r="L412" s="4"/>
      <c r="M412" s="4"/>
      <c r="N412" s="4"/>
      <c r="O412" s="4"/>
    </row>
    <row r="413" spans="1:15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</row>
    <row r="414" spans="1:15" x14ac:dyDescent="0.3">
      <c r="A414" s="4" t="s">
        <v>251</v>
      </c>
      <c r="B414" s="4" t="s">
        <v>49</v>
      </c>
      <c r="C414" s="4" t="s">
        <v>12</v>
      </c>
      <c r="D414" s="4">
        <v>1611144</v>
      </c>
      <c r="E414" s="4">
        <v>32</v>
      </c>
      <c r="F414" s="4" t="s">
        <v>1433</v>
      </c>
      <c r="G414" s="4">
        <v>32</v>
      </c>
      <c r="H414" s="4">
        <v>0</v>
      </c>
      <c r="I414" s="4">
        <v>0</v>
      </c>
      <c r="J414" s="4"/>
      <c r="K414" s="4"/>
      <c r="L414" s="4"/>
      <c r="M414" s="4"/>
      <c r="N414" s="4"/>
      <c r="O414" s="4"/>
    </row>
    <row r="415" spans="1:15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</row>
    <row r="416" spans="1:15" x14ac:dyDescent="0.3">
      <c r="A416" s="4" t="s">
        <v>252</v>
      </c>
      <c r="B416" s="4" t="s">
        <v>49</v>
      </c>
      <c r="C416" s="4" t="s">
        <v>12</v>
      </c>
      <c r="D416" s="4">
        <v>1611864</v>
      </c>
      <c r="E416" s="4">
        <v>62</v>
      </c>
      <c r="F416" s="4" t="s">
        <v>1433</v>
      </c>
      <c r="G416" s="4">
        <v>62</v>
      </c>
      <c r="H416" s="4">
        <v>0</v>
      </c>
      <c r="I416" s="4">
        <v>0</v>
      </c>
      <c r="J416" s="4"/>
      <c r="K416" s="4"/>
      <c r="L416" s="4"/>
      <c r="M416" s="4"/>
      <c r="N416" s="4"/>
      <c r="O416" s="4"/>
    </row>
    <row r="417" spans="1:15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</row>
    <row r="418" spans="1:15" x14ac:dyDescent="0.3">
      <c r="A418" s="4" t="s">
        <v>253</v>
      </c>
      <c r="B418" s="4" t="s">
        <v>49</v>
      </c>
      <c r="C418" s="4" t="s">
        <v>12</v>
      </c>
      <c r="D418" s="4">
        <v>1618050</v>
      </c>
      <c r="E418" s="4">
        <v>142</v>
      </c>
      <c r="F418" s="4" t="s">
        <v>1433</v>
      </c>
      <c r="G418" s="4">
        <v>142</v>
      </c>
      <c r="H418" s="4">
        <v>0</v>
      </c>
      <c r="I418" s="4">
        <v>0</v>
      </c>
      <c r="J418" s="4"/>
      <c r="K418" s="4"/>
      <c r="L418" s="4"/>
      <c r="M418" s="4"/>
      <c r="N418" s="4"/>
      <c r="O418" s="4"/>
    </row>
    <row r="419" spans="1:15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</row>
    <row r="420" spans="1:15" x14ac:dyDescent="0.3">
      <c r="A420" s="4" t="s">
        <v>254</v>
      </c>
      <c r="B420" s="4" t="s">
        <v>49</v>
      </c>
      <c r="C420" s="4" t="s">
        <v>12</v>
      </c>
      <c r="D420" s="4">
        <v>1618476</v>
      </c>
      <c r="E420" s="4">
        <v>9</v>
      </c>
      <c r="F420" s="4" t="s">
        <v>1433</v>
      </c>
      <c r="G420" s="4">
        <v>9</v>
      </c>
      <c r="H420" s="4">
        <v>0</v>
      </c>
      <c r="I420" s="4">
        <v>0</v>
      </c>
      <c r="J420" s="4"/>
      <c r="K420" s="4"/>
      <c r="L420" s="4"/>
      <c r="M420" s="4"/>
      <c r="N420" s="4"/>
      <c r="O420" s="4"/>
    </row>
    <row r="421" spans="1:15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</row>
    <row r="422" spans="1:15" x14ac:dyDescent="0.3">
      <c r="A422" s="4" t="s">
        <v>255</v>
      </c>
      <c r="B422" s="4" t="s">
        <v>49</v>
      </c>
      <c r="C422" s="4" t="s">
        <v>12</v>
      </c>
      <c r="D422" s="4">
        <v>1618620</v>
      </c>
      <c r="E422" s="4">
        <v>38</v>
      </c>
      <c r="F422" s="4" t="s">
        <v>1433</v>
      </c>
      <c r="G422" s="4">
        <v>38</v>
      </c>
      <c r="H422" s="4">
        <v>0</v>
      </c>
      <c r="I422" s="4">
        <v>0</v>
      </c>
      <c r="J422" s="4"/>
      <c r="K422" s="4"/>
      <c r="L422" s="4"/>
      <c r="M422" s="4"/>
      <c r="N422" s="4"/>
      <c r="O422" s="4"/>
    </row>
    <row r="423" spans="1:15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</row>
    <row r="424" spans="1:15" x14ac:dyDescent="0.3">
      <c r="A424" s="4" t="s">
        <v>256</v>
      </c>
      <c r="B424" s="4" t="s">
        <v>49</v>
      </c>
      <c r="C424" s="4" t="s">
        <v>12</v>
      </c>
      <c r="D424" s="4">
        <v>1625526</v>
      </c>
      <c r="E424" s="4">
        <v>11</v>
      </c>
      <c r="F424" s="4" t="s">
        <v>1433</v>
      </c>
      <c r="G424" s="4">
        <v>11</v>
      </c>
      <c r="H424" s="4">
        <v>0</v>
      </c>
      <c r="I424" s="4">
        <v>0</v>
      </c>
      <c r="J424" s="4"/>
      <c r="K424" s="4"/>
      <c r="L424" s="4"/>
      <c r="M424" s="4"/>
      <c r="N424" s="4"/>
      <c r="O424" s="4"/>
    </row>
    <row r="425" spans="1:15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</row>
    <row r="426" spans="1:15" x14ac:dyDescent="0.3">
      <c r="A426" s="4" t="s">
        <v>257</v>
      </c>
      <c r="B426" s="4" t="s">
        <v>49</v>
      </c>
      <c r="C426" s="4" t="s">
        <v>12</v>
      </c>
      <c r="D426" s="4">
        <v>1645104</v>
      </c>
      <c r="E426" s="4">
        <v>228</v>
      </c>
      <c r="F426" s="4" t="s">
        <v>1433</v>
      </c>
      <c r="G426" s="4">
        <v>228</v>
      </c>
      <c r="H426" s="4">
        <v>0</v>
      </c>
      <c r="I426" s="4">
        <v>0</v>
      </c>
      <c r="J426" s="4"/>
      <c r="K426" s="4"/>
      <c r="L426" s="4"/>
      <c r="M426" s="4"/>
      <c r="N426" s="4"/>
      <c r="O426" s="4"/>
    </row>
    <row r="427" spans="1:15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</row>
    <row r="428" spans="1:15" x14ac:dyDescent="0.3">
      <c r="A428" s="4" t="s">
        <v>258</v>
      </c>
      <c r="B428" s="4" t="s">
        <v>49</v>
      </c>
      <c r="C428" s="4" t="s">
        <v>12</v>
      </c>
      <c r="D428" s="4">
        <v>1655442</v>
      </c>
      <c r="E428" s="4">
        <v>19</v>
      </c>
      <c r="F428" s="4" t="s">
        <v>1433</v>
      </c>
      <c r="G428" s="4">
        <v>19</v>
      </c>
      <c r="H428" s="4">
        <v>0</v>
      </c>
      <c r="I428" s="4">
        <v>0</v>
      </c>
      <c r="J428" s="4"/>
      <c r="K428" s="4"/>
      <c r="L428" s="4"/>
      <c r="M428" s="4"/>
      <c r="N428" s="4"/>
      <c r="O428" s="4"/>
    </row>
    <row r="429" spans="1:15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</row>
    <row r="430" spans="1:15" x14ac:dyDescent="0.3">
      <c r="A430" s="4" t="s">
        <v>259</v>
      </c>
      <c r="B430" s="4" t="s">
        <v>49</v>
      </c>
      <c r="C430" s="4" t="s">
        <v>12</v>
      </c>
      <c r="D430" s="4">
        <v>1659012</v>
      </c>
      <c r="E430" s="4">
        <v>106</v>
      </c>
      <c r="F430" s="4" t="s">
        <v>1433</v>
      </c>
      <c r="G430" s="4">
        <v>106</v>
      </c>
      <c r="H430" s="4">
        <v>0</v>
      </c>
      <c r="I430" s="4">
        <v>0</v>
      </c>
      <c r="J430" s="4"/>
      <c r="K430" s="4"/>
      <c r="L430" s="4"/>
      <c r="M430" s="4"/>
      <c r="N430" s="4"/>
      <c r="O430" s="4"/>
    </row>
    <row r="431" spans="1:15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</row>
    <row r="432" spans="1:15" x14ac:dyDescent="0.3">
      <c r="A432" s="4" t="s">
        <v>260</v>
      </c>
      <c r="B432" s="4" t="s">
        <v>49</v>
      </c>
      <c r="C432" s="4" t="s">
        <v>12</v>
      </c>
      <c r="D432" s="4">
        <v>1659156</v>
      </c>
      <c r="E432" s="4">
        <v>30</v>
      </c>
      <c r="F432" s="4" t="s">
        <v>1433</v>
      </c>
      <c r="G432" s="4">
        <v>30</v>
      </c>
      <c r="H432" s="4">
        <v>0</v>
      </c>
      <c r="I432" s="4">
        <v>0</v>
      </c>
      <c r="J432" s="4"/>
      <c r="K432" s="4"/>
      <c r="L432" s="4"/>
      <c r="M432" s="4"/>
      <c r="N432" s="4"/>
      <c r="O432" s="4"/>
    </row>
    <row r="433" spans="1:15" x14ac:dyDescent="0.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</row>
    <row r="434" spans="1:15" x14ac:dyDescent="0.3">
      <c r="A434" s="4" t="s">
        <v>261</v>
      </c>
      <c r="B434" s="4" t="s">
        <v>49</v>
      </c>
      <c r="C434" s="4" t="s">
        <v>12</v>
      </c>
      <c r="D434" s="4">
        <v>1659180</v>
      </c>
      <c r="E434" s="4">
        <v>34</v>
      </c>
      <c r="F434" s="4" t="s">
        <v>1433</v>
      </c>
      <c r="G434" s="4">
        <v>34</v>
      </c>
      <c r="H434" s="4">
        <v>0</v>
      </c>
      <c r="I434" s="4">
        <v>0</v>
      </c>
      <c r="J434" s="4"/>
      <c r="K434" s="4"/>
      <c r="L434" s="4"/>
      <c r="M434" s="4"/>
      <c r="N434" s="4"/>
      <c r="O434" s="4"/>
    </row>
    <row r="435" spans="1:15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</row>
    <row r="436" spans="1:15" x14ac:dyDescent="0.3">
      <c r="A436" s="4" t="s">
        <v>262</v>
      </c>
      <c r="B436" s="4" t="s">
        <v>49</v>
      </c>
      <c r="C436" s="4" t="s">
        <v>12</v>
      </c>
      <c r="D436" s="4">
        <v>1668162</v>
      </c>
      <c r="E436" s="4">
        <v>15</v>
      </c>
      <c r="F436" s="4" t="s">
        <v>1433</v>
      </c>
      <c r="G436" s="4">
        <v>15</v>
      </c>
      <c r="H436" s="4">
        <v>0</v>
      </c>
      <c r="I436" s="4">
        <v>0</v>
      </c>
      <c r="J436" s="4"/>
      <c r="K436" s="4"/>
      <c r="L436" s="4"/>
      <c r="M436" s="4"/>
      <c r="N436" s="4"/>
      <c r="O436" s="4"/>
    </row>
    <row r="437" spans="1:15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</row>
    <row r="438" spans="1:15" x14ac:dyDescent="0.3">
      <c r="A438" s="4" t="s">
        <v>263</v>
      </c>
      <c r="B438" s="4" t="s">
        <v>49</v>
      </c>
      <c r="C438" s="4" t="s">
        <v>12</v>
      </c>
      <c r="D438" s="4">
        <v>1668204</v>
      </c>
      <c r="E438" s="4">
        <v>16</v>
      </c>
      <c r="F438" s="4" t="s">
        <v>1433</v>
      </c>
      <c r="G438" s="4">
        <v>16</v>
      </c>
      <c r="H438" s="4">
        <v>0</v>
      </c>
      <c r="I438" s="4">
        <v>0</v>
      </c>
      <c r="J438" s="4"/>
      <c r="K438" s="4"/>
      <c r="L438" s="4"/>
      <c r="M438" s="4"/>
      <c r="N438" s="4"/>
      <c r="O438" s="4"/>
    </row>
    <row r="439" spans="1:15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</row>
    <row r="440" spans="1:15" x14ac:dyDescent="0.3">
      <c r="A440" s="4" t="s">
        <v>264</v>
      </c>
      <c r="B440" s="4" t="s">
        <v>49</v>
      </c>
      <c r="C440" s="4" t="s">
        <v>12</v>
      </c>
      <c r="D440" s="4">
        <v>1668516</v>
      </c>
      <c r="E440" s="4">
        <v>16</v>
      </c>
      <c r="F440" s="4" t="s">
        <v>1433</v>
      </c>
      <c r="G440" s="4">
        <v>16</v>
      </c>
      <c r="H440" s="4">
        <v>0</v>
      </c>
      <c r="I440" s="4">
        <v>0</v>
      </c>
      <c r="J440" s="4"/>
      <c r="K440" s="4"/>
      <c r="L440" s="4"/>
      <c r="M440" s="4"/>
      <c r="N440" s="4"/>
      <c r="O440" s="4"/>
    </row>
    <row r="441" spans="1:15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</row>
    <row r="442" spans="1:15" x14ac:dyDescent="0.3">
      <c r="A442" s="4" t="s">
        <v>265</v>
      </c>
      <c r="B442" s="4" t="s">
        <v>49</v>
      </c>
      <c r="C442" s="4" t="s">
        <v>12</v>
      </c>
      <c r="D442" s="4">
        <v>1676766</v>
      </c>
      <c r="E442" s="4">
        <v>20</v>
      </c>
      <c r="F442" s="4" t="s">
        <v>1433</v>
      </c>
      <c r="G442" s="4">
        <v>20</v>
      </c>
      <c r="H442" s="4">
        <v>0</v>
      </c>
      <c r="I442" s="4">
        <v>0</v>
      </c>
      <c r="J442" s="4"/>
      <c r="K442" s="4"/>
      <c r="L442" s="4"/>
      <c r="M442" s="4"/>
      <c r="N442" s="4"/>
      <c r="O442" s="4"/>
    </row>
    <row r="443" spans="1:15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</row>
    <row r="444" spans="1:15" x14ac:dyDescent="0.3">
      <c r="A444" s="4" t="s">
        <v>266</v>
      </c>
      <c r="B444" s="4" t="s">
        <v>49</v>
      </c>
      <c r="C444" s="4" t="s">
        <v>12</v>
      </c>
      <c r="D444" s="4">
        <v>1683366</v>
      </c>
      <c r="E444" s="4">
        <v>12</v>
      </c>
      <c r="F444" s="4" t="s">
        <v>1433</v>
      </c>
      <c r="G444" s="4">
        <v>12</v>
      </c>
      <c r="H444" s="4">
        <v>0</v>
      </c>
      <c r="I444" s="4">
        <v>0</v>
      </c>
      <c r="J444" s="4"/>
      <c r="K444" s="4"/>
      <c r="L444" s="4"/>
      <c r="M444" s="4"/>
      <c r="N444" s="4"/>
      <c r="O444" s="4"/>
    </row>
    <row r="445" spans="1:15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</row>
    <row r="446" spans="1:15" x14ac:dyDescent="0.3">
      <c r="A446" s="4" t="s">
        <v>267</v>
      </c>
      <c r="B446" s="4" t="s">
        <v>49</v>
      </c>
      <c r="C446" s="4" t="s">
        <v>12</v>
      </c>
      <c r="D446" s="4">
        <v>1685544</v>
      </c>
      <c r="E446" s="4">
        <v>13</v>
      </c>
      <c r="F446" s="4" t="s">
        <v>1433</v>
      </c>
      <c r="G446" s="4">
        <v>13</v>
      </c>
      <c r="H446" s="4">
        <v>0</v>
      </c>
      <c r="I446" s="4">
        <v>0</v>
      </c>
      <c r="J446" s="4"/>
      <c r="K446" s="4"/>
      <c r="L446" s="4"/>
      <c r="M446" s="4"/>
      <c r="N446" s="4"/>
      <c r="O446" s="4"/>
    </row>
    <row r="447" spans="1:15" x14ac:dyDescent="0.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</row>
    <row r="448" spans="1:15" x14ac:dyDescent="0.3">
      <c r="A448" s="4" t="s">
        <v>268</v>
      </c>
      <c r="B448" s="4" t="s">
        <v>49</v>
      </c>
      <c r="C448" s="4" t="s">
        <v>12</v>
      </c>
      <c r="D448" s="4">
        <v>1685796</v>
      </c>
      <c r="E448" s="4">
        <v>13</v>
      </c>
      <c r="F448" s="4" t="s">
        <v>1433</v>
      </c>
      <c r="G448" s="4">
        <v>13</v>
      </c>
      <c r="H448" s="4">
        <v>0</v>
      </c>
      <c r="I448" s="4">
        <v>0</v>
      </c>
      <c r="J448" s="4"/>
      <c r="K448" s="4"/>
      <c r="L448" s="4"/>
      <c r="M448" s="4"/>
      <c r="N448" s="4"/>
      <c r="O448" s="4"/>
    </row>
    <row r="449" spans="1:15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</row>
    <row r="450" spans="1:15" x14ac:dyDescent="0.3">
      <c r="A450" s="4" t="s">
        <v>269</v>
      </c>
      <c r="B450" s="4" t="s">
        <v>49</v>
      </c>
      <c r="C450" s="4" t="s">
        <v>12</v>
      </c>
      <c r="D450" s="4">
        <v>1693182</v>
      </c>
      <c r="E450" s="4">
        <v>350</v>
      </c>
      <c r="F450" s="4" t="s">
        <v>1433</v>
      </c>
      <c r="G450" s="4">
        <v>350</v>
      </c>
      <c r="H450" s="4">
        <v>0</v>
      </c>
      <c r="I450" s="4">
        <v>0</v>
      </c>
      <c r="J450" s="4"/>
      <c r="K450" s="4"/>
      <c r="L450" s="4"/>
      <c r="M450" s="4"/>
      <c r="N450" s="4"/>
      <c r="O450" s="4"/>
    </row>
    <row r="451" spans="1:15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</row>
    <row r="452" spans="1:15" x14ac:dyDescent="0.3">
      <c r="A452" s="4" t="s">
        <v>270</v>
      </c>
      <c r="B452" s="4" t="s">
        <v>49</v>
      </c>
      <c r="C452" s="4" t="s">
        <v>12</v>
      </c>
      <c r="D452" s="4">
        <v>1705452</v>
      </c>
      <c r="E452" s="4">
        <v>30</v>
      </c>
      <c r="F452" s="4" t="s">
        <v>1433</v>
      </c>
      <c r="G452" s="4">
        <v>30</v>
      </c>
      <c r="H452" s="4">
        <v>0</v>
      </c>
      <c r="I452" s="4">
        <v>0</v>
      </c>
      <c r="J452" s="4"/>
      <c r="K452" s="4"/>
      <c r="L452" s="4"/>
      <c r="M452" s="4"/>
      <c r="N452" s="4"/>
      <c r="O452" s="4"/>
    </row>
    <row r="453" spans="1:15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</row>
    <row r="454" spans="1:15" x14ac:dyDescent="0.3">
      <c r="A454" s="4" t="s">
        <v>271</v>
      </c>
      <c r="B454" s="4" t="s">
        <v>49</v>
      </c>
      <c r="C454" s="4" t="s">
        <v>12</v>
      </c>
      <c r="D454" s="4">
        <v>1707792</v>
      </c>
      <c r="E454" s="4">
        <v>35</v>
      </c>
      <c r="F454" s="4" t="s">
        <v>1433</v>
      </c>
      <c r="G454" s="4">
        <v>35</v>
      </c>
      <c r="H454" s="4">
        <v>0</v>
      </c>
      <c r="I454" s="4">
        <v>0</v>
      </c>
      <c r="J454" s="4"/>
      <c r="K454" s="4"/>
      <c r="L454" s="4"/>
      <c r="M454" s="4"/>
      <c r="N454" s="4"/>
      <c r="O454" s="4"/>
    </row>
    <row r="455" spans="1:15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</row>
    <row r="456" spans="1:15" x14ac:dyDescent="0.3">
      <c r="A456" s="4" t="s">
        <v>272</v>
      </c>
      <c r="B456" s="4" t="s">
        <v>49</v>
      </c>
      <c r="C456" s="4" t="s">
        <v>12</v>
      </c>
      <c r="D456" s="4">
        <v>1712142</v>
      </c>
      <c r="E456" s="4">
        <v>10</v>
      </c>
      <c r="F456" s="4" t="s">
        <v>1433</v>
      </c>
      <c r="G456" s="4">
        <v>10</v>
      </c>
      <c r="H456" s="4">
        <v>0</v>
      </c>
      <c r="I456" s="4">
        <v>0</v>
      </c>
      <c r="J456" s="4"/>
      <c r="K456" s="4"/>
      <c r="L456" s="4"/>
      <c r="M456" s="4"/>
      <c r="N456" s="4"/>
      <c r="O456" s="4"/>
    </row>
    <row r="457" spans="1:15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</row>
    <row r="458" spans="1:15" x14ac:dyDescent="0.3">
      <c r="A458" s="4" t="s">
        <v>273</v>
      </c>
      <c r="B458" s="4" t="s">
        <v>49</v>
      </c>
      <c r="C458" s="4" t="s">
        <v>12</v>
      </c>
      <c r="D458" s="4">
        <v>1712394</v>
      </c>
      <c r="E458" s="4">
        <v>43</v>
      </c>
      <c r="F458" s="4" t="s">
        <v>1433</v>
      </c>
      <c r="G458" s="4">
        <v>43</v>
      </c>
      <c r="H458" s="4">
        <v>0</v>
      </c>
      <c r="I458" s="4">
        <v>0</v>
      </c>
      <c r="J458" s="4"/>
      <c r="K458" s="4"/>
      <c r="L458" s="4"/>
      <c r="M458" s="4"/>
      <c r="N458" s="4"/>
      <c r="O458" s="4"/>
    </row>
    <row r="459" spans="1:15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</row>
    <row r="460" spans="1:15" x14ac:dyDescent="0.3">
      <c r="A460" s="4" t="s">
        <v>274</v>
      </c>
      <c r="B460" s="4" t="s">
        <v>49</v>
      </c>
      <c r="C460" s="4" t="s">
        <v>12</v>
      </c>
      <c r="D460" s="4">
        <v>1713690</v>
      </c>
      <c r="E460" s="4">
        <v>27</v>
      </c>
      <c r="F460" s="4" t="s">
        <v>1433</v>
      </c>
      <c r="G460" s="4">
        <v>27</v>
      </c>
      <c r="H460" s="4">
        <v>0</v>
      </c>
      <c r="I460" s="4">
        <v>0</v>
      </c>
      <c r="J460" s="4"/>
      <c r="K460" s="4"/>
      <c r="L460" s="4"/>
      <c r="M460" s="4"/>
      <c r="N460" s="4"/>
      <c r="O460" s="4"/>
    </row>
    <row r="461" spans="1:15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</row>
    <row r="462" spans="1:15" x14ac:dyDescent="0.3">
      <c r="A462" s="4" t="s">
        <v>275</v>
      </c>
      <c r="B462" s="4" t="s">
        <v>49</v>
      </c>
      <c r="C462" s="4" t="s">
        <v>12</v>
      </c>
      <c r="D462" s="4">
        <v>1713702</v>
      </c>
      <c r="E462" s="4">
        <v>31</v>
      </c>
      <c r="F462" s="4" t="s">
        <v>1433</v>
      </c>
      <c r="G462" s="4">
        <v>31</v>
      </c>
      <c r="H462" s="4">
        <v>0</v>
      </c>
      <c r="I462" s="4">
        <v>0</v>
      </c>
      <c r="J462" s="4"/>
      <c r="K462" s="4"/>
      <c r="L462" s="4"/>
      <c r="M462" s="4"/>
      <c r="N462" s="4"/>
      <c r="O462" s="4"/>
    </row>
    <row r="463" spans="1:15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</row>
    <row r="464" spans="1:15" x14ac:dyDescent="0.3">
      <c r="A464" s="4" t="s">
        <v>276</v>
      </c>
      <c r="B464" s="4" t="s">
        <v>49</v>
      </c>
      <c r="C464" s="4" t="s">
        <v>12</v>
      </c>
      <c r="D464" s="4">
        <v>1714140</v>
      </c>
      <c r="E464" s="4">
        <v>97</v>
      </c>
      <c r="F464" s="4" t="s">
        <v>1433</v>
      </c>
      <c r="G464" s="4">
        <v>97</v>
      </c>
      <c r="H464" s="4">
        <v>0</v>
      </c>
      <c r="I464" s="4">
        <v>0</v>
      </c>
      <c r="J464" s="4"/>
      <c r="K464" s="4"/>
      <c r="L464" s="4"/>
      <c r="M464" s="4"/>
      <c r="N464" s="4"/>
      <c r="O464" s="4"/>
    </row>
    <row r="465" spans="1:15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</row>
    <row r="466" spans="1:15" x14ac:dyDescent="0.3">
      <c r="A466" s="4" t="s">
        <v>277</v>
      </c>
      <c r="B466" s="4" t="s">
        <v>49</v>
      </c>
      <c r="C466" s="4" t="s">
        <v>12</v>
      </c>
      <c r="D466" s="4">
        <v>1716732</v>
      </c>
      <c r="E466" s="4">
        <v>81</v>
      </c>
      <c r="F466" s="4" t="s">
        <v>1433</v>
      </c>
      <c r="G466" s="4">
        <v>81</v>
      </c>
      <c r="H466" s="4">
        <v>0</v>
      </c>
      <c r="I466" s="4">
        <v>0</v>
      </c>
      <c r="J466" s="4"/>
      <c r="K466" s="4"/>
      <c r="L466" s="4"/>
      <c r="M466" s="4"/>
      <c r="N466" s="4"/>
      <c r="O466" s="4"/>
    </row>
    <row r="467" spans="1:15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</row>
    <row r="468" spans="1:15" x14ac:dyDescent="0.3">
      <c r="A468" s="4" t="s">
        <v>278</v>
      </c>
      <c r="B468" s="4" t="s">
        <v>49</v>
      </c>
      <c r="C468" s="4" t="s">
        <v>12</v>
      </c>
      <c r="D468" s="4">
        <v>1716786</v>
      </c>
      <c r="E468" s="4">
        <v>18</v>
      </c>
      <c r="F468" s="4" t="s">
        <v>1433</v>
      </c>
      <c r="G468" s="4">
        <v>18</v>
      </c>
      <c r="H468" s="4">
        <v>0</v>
      </c>
      <c r="I468" s="4">
        <v>0</v>
      </c>
      <c r="J468" s="4"/>
      <c r="K468" s="4"/>
      <c r="L468" s="4"/>
      <c r="M468" s="4"/>
      <c r="N468" s="4"/>
      <c r="O468" s="4"/>
    </row>
    <row r="469" spans="1:15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</row>
    <row r="470" spans="1:15" x14ac:dyDescent="0.3">
      <c r="A470" s="4" t="s">
        <v>279</v>
      </c>
      <c r="B470" s="4" t="s">
        <v>49</v>
      </c>
      <c r="C470" s="4" t="s">
        <v>12</v>
      </c>
      <c r="D470" s="4">
        <v>1723608</v>
      </c>
      <c r="E470" s="4">
        <v>143</v>
      </c>
      <c r="F470" s="4" t="s">
        <v>1433</v>
      </c>
      <c r="G470" s="4">
        <v>143</v>
      </c>
      <c r="H470" s="4">
        <v>0</v>
      </c>
      <c r="I470" s="4">
        <v>0</v>
      </c>
      <c r="J470" s="4"/>
      <c r="K470" s="4"/>
      <c r="L470" s="4"/>
      <c r="M470" s="4"/>
      <c r="N470" s="4"/>
      <c r="O470" s="4"/>
    </row>
    <row r="471" spans="1:15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</row>
    <row r="472" spans="1:15" x14ac:dyDescent="0.3">
      <c r="A472" s="4" t="s">
        <v>280</v>
      </c>
      <c r="B472" s="4" t="s">
        <v>49</v>
      </c>
      <c r="C472" s="4" t="s">
        <v>12</v>
      </c>
      <c r="D472" s="4">
        <v>1726236</v>
      </c>
      <c r="E472" s="4">
        <v>117</v>
      </c>
      <c r="F472" s="4" t="s">
        <v>1433</v>
      </c>
      <c r="G472" s="4">
        <v>117</v>
      </c>
      <c r="H472" s="4">
        <v>0</v>
      </c>
      <c r="I472" s="4">
        <v>0</v>
      </c>
      <c r="J472" s="4"/>
      <c r="K472" s="4"/>
      <c r="L472" s="4"/>
      <c r="M472" s="4"/>
      <c r="N472" s="4"/>
      <c r="O472" s="4"/>
    </row>
    <row r="473" spans="1:15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</row>
    <row r="474" spans="1:15" x14ac:dyDescent="0.3">
      <c r="A474" s="4" t="s">
        <v>281</v>
      </c>
      <c r="B474" s="4" t="s">
        <v>49</v>
      </c>
      <c r="C474" s="4" t="s">
        <v>12</v>
      </c>
      <c r="D474" s="4">
        <v>1730226</v>
      </c>
      <c r="E474" s="4">
        <v>100</v>
      </c>
      <c r="F474" s="4" t="s">
        <v>1433</v>
      </c>
      <c r="G474" s="4">
        <v>100</v>
      </c>
      <c r="H474" s="4">
        <v>0</v>
      </c>
      <c r="I474" s="4">
        <v>0</v>
      </c>
      <c r="J474" s="4"/>
      <c r="K474" s="4"/>
      <c r="L474" s="4"/>
      <c r="M474" s="4"/>
      <c r="N474" s="4"/>
      <c r="O474" s="4"/>
    </row>
    <row r="475" spans="1:15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</row>
    <row r="476" spans="1:15" x14ac:dyDescent="0.3">
      <c r="A476" s="4" t="s">
        <v>282</v>
      </c>
      <c r="B476" s="4" t="s">
        <v>49</v>
      </c>
      <c r="C476" s="4" t="s">
        <v>12</v>
      </c>
      <c r="D476" s="4">
        <v>1760742</v>
      </c>
      <c r="E476" s="4">
        <v>270</v>
      </c>
      <c r="F476" s="4" t="s">
        <v>1433</v>
      </c>
      <c r="G476" s="4">
        <v>270</v>
      </c>
      <c r="H476" s="4">
        <v>0</v>
      </c>
      <c r="I476" s="4">
        <v>0</v>
      </c>
      <c r="J476" s="4"/>
      <c r="K476" s="4"/>
      <c r="L476" s="4"/>
      <c r="M476" s="4"/>
      <c r="N476" s="4"/>
      <c r="O476" s="4"/>
    </row>
    <row r="477" spans="1:15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</row>
    <row r="478" spans="1:15" x14ac:dyDescent="0.3">
      <c r="A478" s="4" t="s">
        <v>283</v>
      </c>
      <c r="B478" s="4" t="s">
        <v>49</v>
      </c>
      <c r="C478" s="4" t="s">
        <v>12</v>
      </c>
      <c r="D478" s="4">
        <v>1762950</v>
      </c>
      <c r="E478" s="4">
        <v>11</v>
      </c>
      <c r="F478" s="4" t="s">
        <v>1433</v>
      </c>
      <c r="G478" s="4">
        <v>11</v>
      </c>
      <c r="H478" s="4">
        <v>0</v>
      </c>
      <c r="I478" s="4">
        <v>0</v>
      </c>
      <c r="J478" s="4"/>
      <c r="K478" s="4"/>
      <c r="L478" s="4"/>
      <c r="M478" s="4"/>
      <c r="N478" s="4"/>
      <c r="O478" s="4"/>
    </row>
    <row r="479" spans="1:15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</row>
    <row r="480" spans="1:15" x14ac:dyDescent="0.3">
      <c r="A480" s="4" t="s">
        <v>284</v>
      </c>
      <c r="B480" s="4" t="s">
        <v>49</v>
      </c>
      <c r="C480" s="4" t="s">
        <v>12</v>
      </c>
      <c r="D480" s="4">
        <v>1764474</v>
      </c>
      <c r="E480" s="4">
        <v>43</v>
      </c>
      <c r="F480" s="4" t="s">
        <v>1433</v>
      </c>
      <c r="G480" s="4">
        <v>43</v>
      </c>
      <c r="H480" s="4">
        <v>0</v>
      </c>
      <c r="I480" s="4">
        <v>0</v>
      </c>
      <c r="J480" s="4"/>
      <c r="K480" s="4"/>
      <c r="L480" s="4"/>
      <c r="M480" s="4"/>
      <c r="N480" s="4"/>
      <c r="O480" s="4"/>
    </row>
    <row r="481" spans="1:15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</row>
    <row r="482" spans="1:15" x14ac:dyDescent="0.3">
      <c r="A482" s="4" t="s">
        <v>285</v>
      </c>
      <c r="B482" s="4" t="s">
        <v>49</v>
      </c>
      <c r="C482" s="4" t="s">
        <v>12</v>
      </c>
      <c r="D482" s="4">
        <v>1789920</v>
      </c>
      <c r="E482" s="4">
        <v>41</v>
      </c>
      <c r="F482" s="4" t="s">
        <v>1433</v>
      </c>
      <c r="G482" s="4">
        <v>41</v>
      </c>
      <c r="H482" s="4">
        <v>0</v>
      </c>
      <c r="I482" s="4">
        <v>0</v>
      </c>
      <c r="J482" s="4"/>
      <c r="K482" s="4"/>
      <c r="L482" s="4"/>
      <c r="M482" s="4"/>
      <c r="N482" s="4"/>
      <c r="O482" s="4"/>
    </row>
    <row r="483" spans="1:15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</row>
    <row r="484" spans="1:15" x14ac:dyDescent="0.3">
      <c r="A484" s="4" t="s">
        <v>286</v>
      </c>
      <c r="B484" s="4" t="s">
        <v>49</v>
      </c>
      <c r="C484" s="4" t="s">
        <v>12</v>
      </c>
      <c r="D484" s="4">
        <v>1792470</v>
      </c>
      <c r="E484" s="4">
        <v>64</v>
      </c>
      <c r="F484" s="4" t="s">
        <v>1433</v>
      </c>
      <c r="G484" s="4">
        <v>64</v>
      </c>
      <c r="H484" s="4">
        <v>0</v>
      </c>
      <c r="I484" s="4">
        <v>0</v>
      </c>
      <c r="J484" s="4"/>
      <c r="K484" s="4"/>
      <c r="L484" s="4"/>
      <c r="M484" s="4"/>
      <c r="N484" s="4"/>
      <c r="O484" s="4"/>
    </row>
    <row r="485" spans="1:15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</row>
    <row r="486" spans="1:15" x14ac:dyDescent="0.3">
      <c r="A486" s="4" t="s">
        <v>287</v>
      </c>
      <c r="B486" s="4" t="s">
        <v>49</v>
      </c>
      <c r="C486" s="4" t="s">
        <v>12</v>
      </c>
      <c r="D486" s="4">
        <v>1799238</v>
      </c>
      <c r="E486" s="4">
        <v>45</v>
      </c>
      <c r="F486" s="4" t="s">
        <v>1433</v>
      </c>
      <c r="G486" s="4">
        <v>45</v>
      </c>
      <c r="H486" s="4">
        <v>0</v>
      </c>
      <c r="I486" s="4">
        <v>0</v>
      </c>
      <c r="J486" s="4"/>
      <c r="K486" s="4"/>
      <c r="L486" s="4"/>
      <c r="M486" s="4"/>
      <c r="N486" s="4"/>
      <c r="O486" s="4"/>
    </row>
    <row r="487" spans="1:15" x14ac:dyDescent="0.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</row>
    <row r="488" spans="1:15" x14ac:dyDescent="0.3">
      <c r="A488" s="4" t="s">
        <v>288</v>
      </c>
      <c r="B488" s="4" t="s">
        <v>49</v>
      </c>
      <c r="C488" s="4" t="s">
        <v>12</v>
      </c>
      <c r="D488" s="4">
        <v>4800210</v>
      </c>
      <c r="E488" s="4">
        <v>145</v>
      </c>
      <c r="F488" s="4" t="s">
        <v>1433</v>
      </c>
      <c r="G488" s="4">
        <v>145</v>
      </c>
      <c r="H488" s="4">
        <v>0</v>
      </c>
      <c r="I488" s="4">
        <v>0</v>
      </c>
      <c r="J488" s="4"/>
      <c r="K488" s="4"/>
      <c r="L488" s="4"/>
      <c r="M488" s="4"/>
      <c r="N488" s="4"/>
      <c r="O488" s="4"/>
    </row>
    <row r="489" spans="1:15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</row>
    <row r="490" spans="1:15" x14ac:dyDescent="0.3">
      <c r="A490" s="4" t="s">
        <v>289</v>
      </c>
      <c r="B490" s="4" t="s">
        <v>47</v>
      </c>
      <c r="C490" s="4" t="s">
        <v>12</v>
      </c>
      <c r="D490" s="4">
        <v>10585560</v>
      </c>
      <c r="E490" s="4">
        <v>18977</v>
      </c>
      <c r="F490" s="4" t="s">
        <v>1433</v>
      </c>
      <c r="G490" s="4">
        <v>18977</v>
      </c>
      <c r="H490" s="4">
        <v>0</v>
      </c>
      <c r="I490" s="4">
        <v>0</v>
      </c>
      <c r="J490" s="4"/>
      <c r="K490" s="4"/>
      <c r="L490" s="4"/>
      <c r="M490" s="4"/>
      <c r="N490" s="4"/>
      <c r="O490" s="4"/>
    </row>
    <row r="491" spans="1:15" x14ac:dyDescent="0.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</row>
    <row r="492" spans="1:15" x14ac:dyDescent="0.3">
      <c r="A492" s="4" t="s">
        <v>290</v>
      </c>
      <c r="B492" s="4" t="s">
        <v>47</v>
      </c>
      <c r="C492" s="4" t="s">
        <v>12</v>
      </c>
      <c r="D492" s="4">
        <v>12003294</v>
      </c>
      <c r="E492" s="4">
        <v>44748</v>
      </c>
      <c r="F492" s="4" t="s">
        <v>1433</v>
      </c>
      <c r="G492" s="4">
        <v>44748</v>
      </c>
      <c r="H492" s="4">
        <v>0</v>
      </c>
      <c r="I492" s="4">
        <v>0</v>
      </c>
      <c r="J492" s="4"/>
      <c r="K492" s="4"/>
      <c r="L492" s="4"/>
      <c r="M492" s="4"/>
      <c r="N492" s="4"/>
      <c r="O492" s="4"/>
    </row>
    <row r="493" spans="1:15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</row>
    <row r="494" spans="1:15" x14ac:dyDescent="0.3">
      <c r="A494" s="4" t="s">
        <v>291</v>
      </c>
      <c r="B494" s="4" t="s">
        <v>47</v>
      </c>
      <c r="C494" s="4" t="s">
        <v>12</v>
      </c>
      <c r="D494" s="4">
        <v>12003366</v>
      </c>
      <c r="E494" s="4">
        <v>4930</v>
      </c>
      <c r="F494" s="4" t="s">
        <v>1433</v>
      </c>
      <c r="G494" s="4">
        <v>4930</v>
      </c>
      <c r="H494" s="4">
        <v>0</v>
      </c>
      <c r="I494" s="4">
        <v>0</v>
      </c>
      <c r="J494" s="4"/>
      <c r="K494" s="4"/>
      <c r="L494" s="4"/>
      <c r="M494" s="4"/>
      <c r="N494" s="4"/>
      <c r="O494" s="4"/>
    </row>
    <row r="495" spans="1:15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</row>
    <row r="496" spans="1:15" x14ac:dyDescent="0.3">
      <c r="A496" s="4" t="s">
        <v>292</v>
      </c>
      <c r="B496" s="4" t="s">
        <v>47</v>
      </c>
      <c r="C496" s="4" t="s">
        <v>12</v>
      </c>
      <c r="D496" s="4">
        <v>12003384</v>
      </c>
      <c r="E496" s="4">
        <v>313971</v>
      </c>
      <c r="F496" s="4" t="s">
        <v>1433</v>
      </c>
      <c r="G496" s="4">
        <v>313971</v>
      </c>
      <c r="I496" s="4">
        <v>0</v>
      </c>
      <c r="J496" s="4"/>
      <c r="K496" s="4"/>
      <c r="L496" s="4"/>
      <c r="M496" s="4"/>
      <c r="N496" s="4"/>
      <c r="O496" s="4"/>
    </row>
    <row r="497" spans="1:15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</row>
    <row r="498" spans="1:15" x14ac:dyDescent="0.3">
      <c r="A498" s="4" t="s">
        <v>293</v>
      </c>
      <c r="B498" s="4" t="s">
        <v>47</v>
      </c>
      <c r="C498" s="4" t="s">
        <v>12</v>
      </c>
      <c r="D498" s="4">
        <v>12003396</v>
      </c>
      <c r="E498" s="4">
        <v>1262477</v>
      </c>
      <c r="F498" s="4" t="s">
        <v>1433</v>
      </c>
      <c r="G498" s="4">
        <v>1262477</v>
      </c>
      <c r="H498" s="4">
        <v>0</v>
      </c>
      <c r="I498" s="4">
        <v>0</v>
      </c>
      <c r="J498" s="4"/>
      <c r="K498" s="4"/>
      <c r="L498" s="4"/>
      <c r="M498" s="4"/>
      <c r="N498" s="4"/>
      <c r="O498" s="4"/>
    </row>
    <row r="499" spans="1:15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</row>
    <row r="500" spans="1:15" x14ac:dyDescent="0.3">
      <c r="A500" s="4" t="s">
        <v>294</v>
      </c>
      <c r="B500" s="4" t="s">
        <v>47</v>
      </c>
      <c r="C500" s="4" t="s">
        <v>12</v>
      </c>
      <c r="D500" s="4">
        <v>12003426</v>
      </c>
      <c r="E500" s="4">
        <v>243380</v>
      </c>
      <c r="F500" s="4" t="s">
        <v>1433</v>
      </c>
      <c r="G500" s="4">
        <v>243380</v>
      </c>
      <c r="H500" s="4">
        <v>0</v>
      </c>
      <c r="I500" s="4">
        <v>0</v>
      </c>
      <c r="J500" s="4"/>
      <c r="K500" s="4"/>
      <c r="L500" s="4"/>
      <c r="M500" s="4"/>
      <c r="N500" s="4"/>
      <c r="O500" s="4"/>
    </row>
    <row r="501" spans="1:15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</row>
    <row r="502" spans="1:15" x14ac:dyDescent="0.3">
      <c r="A502" s="4" t="s">
        <v>295</v>
      </c>
      <c r="B502" s="4" t="s">
        <v>47</v>
      </c>
      <c r="C502" s="4" t="s">
        <v>12</v>
      </c>
      <c r="D502" s="4">
        <v>12003588</v>
      </c>
      <c r="E502" s="4">
        <v>106863</v>
      </c>
      <c r="F502" s="4" t="s">
        <v>1433</v>
      </c>
      <c r="G502" s="4">
        <v>106863</v>
      </c>
      <c r="H502" s="4">
        <v>0</v>
      </c>
      <c r="I502" s="4">
        <v>0</v>
      </c>
      <c r="J502" s="4"/>
      <c r="K502" s="4"/>
      <c r="L502" s="4"/>
      <c r="M502" s="4"/>
      <c r="N502" s="4"/>
      <c r="O502" s="4"/>
    </row>
    <row r="503" spans="1:15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</row>
    <row r="504" spans="1:15" x14ac:dyDescent="0.3">
      <c r="A504" s="4" t="s">
        <v>296</v>
      </c>
      <c r="B504" s="4" t="s">
        <v>47</v>
      </c>
      <c r="C504" s="4" t="s">
        <v>12</v>
      </c>
      <c r="D504" s="4">
        <v>12003612</v>
      </c>
      <c r="E504" s="4">
        <v>32213</v>
      </c>
      <c r="F504" s="4" t="s">
        <v>1433</v>
      </c>
      <c r="G504" s="4">
        <v>32213</v>
      </c>
      <c r="H504" s="4">
        <v>0</v>
      </c>
      <c r="I504" s="4">
        <v>0</v>
      </c>
      <c r="J504" s="4"/>
      <c r="K504" s="4"/>
      <c r="L504" s="4"/>
      <c r="M504" s="4"/>
      <c r="N504" s="4"/>
      <c r="O504" s="4"/>
    </row>
    <row r="505" spans="1:15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</row>
    <row r="506" spans="1:15" x14ac:dyDescent="0.3">
      <c r="A506" s="4" t="s">
        <v>297</v>
      </c>
      <c r="B506" s="4" t="s">
        <v>47</v>
      </c>
      <c r="C506" s="4" t="s">
        <v>12</v>
      </c>
      <c r="D506" s="4">
        <v>12006480</v>
      </c>
      <c r="E506" s="4">
        <v>9940</v>
      </c>
      <c r="F506" s="4" t="s">
        <v>1433</v>
      </c>
      <c r="G506" s="4">
        <v>9940</v>
      </c>
      <c r="H506" s="4">
        <v>0</v>
      </c>
      <c r="I506" s="4">
        <v>0</v>
      </c>
      <c r="J506" s="4"/>
      <c r="K506" s="4"/>
      <c r="L506" s="4"/>
      <c r="M506" s="4"/>
      <c r="N506" s="4"/>
      <c r="O506" s="4"/>
    </row>
    <row r="507" spans="1:15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</row>
    <row r="508" spans="1:15" x14ac:dyDescent="0.3">
      <c r="A508" s="4" t="s">
        <v>298</v>
      </c>
      <c r="B508" s="4" t="s">
        <v>47</v>
      </c>
      <c r="C508" s="4" t="s">
        <v>12</v>
      </c>
      <c r="D508" s="4">
        <v>12255786</v>
      </c>
      <c r="E508" s="4">
        <v>23610</v>
      </c>
      <c r="F508" s="4" t="s">
        <v>1433</v>
      </c>
      <c r="G508" s="4">
        <v>23610</v>
      </c>
      <c r="H508" s="4">
        <v>0</v>
      </c>
      <c r="I508" s="4">
        <v>0</v>
      </c>
      <c r="J508" s="4"/>
      <c r="K508" s="4"/>
      <c r="L508" s="4"/>
      <c r="M508" s="4"/>
      <c r="N508" s="4"/>
      <c r="O508" s="4"/>
    </row>
    <row r="509" spans="1:15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</row>
    <row r="510" spans="1:15" x14ac:dyDescent="0.3">
      <c r="A510" s="4" t="s">
        <v>299</v>
      </c>
      <c r="B510" s="4" t="s">
        <v>47</v>
      </c>
      <c r="C510" s="4" t="s">
        <v>12</v>
      </c>
      <c r="D510" s="4">
        <v>12441216</v>
      </c>
      <c r="E510" s="4">
        <v>13355</v>
      </c>
      <c r="F510" s="4" t="s">
        <v>1433</v>
      </c>
      <c r="G510" s="4">
        <v>13355</v>
      </c>
      <c r="H510" s="4">
        <v>0</v>
      </c>
      <c r="I510" s="4">
        <v>0</v>
      </c>
      <c r="J510" s="4"/>
      <c r="K510" s="4"/>
      <c r="L510" s="4"/>
      <c r="M510" s="4"/>
      <c r="N510" s="4"/>
      <c r="O510" s="4"/>
    </row>
    <row r="511" spans="1:15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</row>
    <row r="512" spans="1:15" x14ac:dyDescent="0.3">
      <c r="A512" s="4" t="s">
        <v>300</v>
      </c>
      <c r="B512" s="4" t="s">
        <v>47</v>
      </c>
      <c r="C512" s="4" t="s">
        <v>12</v>
      </c>
      <c r="D512" s="4">
        <v>12441234</v>
      </c>
      <c r="E512" s="4">
        <v>170384</v>
      </c>
      <c r="F512" s="4" t="s">
        <v>1433</v>
      </c>
      <c r="G512" s="4">
        <v>170384</v>
      </c>
      <c r="H512" s="4">
        <v>0</v>
      </c>
      <c r="I512" s="4">
        <v>0</v>
      </c>
      <c r="J512" s="4"/>
      <c r="K512" s="4"/>
      <c r="L512" s="4"/>
      <c r="M512" s="4"/>
      <c r="N512" s="4"/>
      <c r="O512" s="4"/>
    </row>
    <row r="513" spans="1:15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</row>
    <row r="514" spans="1:15" x14ac:dyDescent="0.3">
      <c r="A514" s="4" t="s">
        <v>301</v>
      </c>
      <c r="B514" s="4" t="s">
        <v>47</v>
      </c>
      <c r="C514" s="4" t="s">
        <v>12</v>
      </c>
      <c r="D514" s="4">
        <v>13208898</v>
      </c>
      <c r="E514" s="4">
        <v>37155</v>
      </c>
      <c r="F514" s="4" t="s">
        <v>1433</v>
      </c>
      <c r="G514" s="4">
        <v>37155</v>
      </c>
      <c r="H514" s="4">
        <v>0</v>
      </c>
      <c r="I514" s="4">
        <v>0</v>
      </c>
      <c r="J514" s="4"/>
      <c r="K514" s="4"/>
      <c r="L514" s="4"/>
      <c r="M514" s="4"/>
      <c r="N514" s="4"/>
      <c r="O514" s="4"/>
    </row>
    <row r="515" spans="1:15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</row>
    <row r="516" spans="1:15" x14ac:dyDescent="0.3">
      <c r="A516" s="4" t="s">
        <v>302</v>
      </c>
      <c r="B516" s="4" t="s">
        <v>47</v>
      </c>
      <c r="C516" s="4" t="s">
        <v>12</v>
      </c>
      <c r="D516" s="4">
        <v>13240206</v>
      </c>
      <c r="E516" s="4">
        <v>39156</v>
      </c>
      <c r="F516" s="4" t="s">
        <v>1433</v>
      </c>
      <c r="G516" s="4">
        <v>39156</v>
      </c>
      <c r="H516" s="4">
        <v>0</v>
      </c>
      <c r="I516" s="4">
        <v>0</v>
      </c>
      <c r="J516" s="4"/>
      <c r="K516" s="4"/>
      <c r="L516" s="4"/>
      <c r="M516" s="4"/>
      <c r="N516" s="4"/>
      <c r="O516" s="4"/>
    </row>
    <row r="517" spans="1:15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</row>
    <row r="518" spans="1:15" x14ac:dyDescent="0.3">
      <c r="A518" s="4" t="s">
        <v>303</v>
      </c>
      <c r="B518" s="4" t="s">
        <v>49</v>
      </c>
      <c r="C518" s="4" t="s">
        <v>12</v>
      </c>
      <c r="D518" s="4">
        <v>13251468</v>
      </c>
      <c r="E518" s="4">
        <v>1146</v>
      </c>
      <c r="F518" s="4" t="s">
        <v>1433</v>
      </c>
      <c r="G518" s="4">
        <v>1146</v>
      </c>
      <c r="H518" s="4">
        <v>0</v>
      </c>
      <c r="I518" s="4">
        <v>0</v>
      </c>
      <c r="J518" s="4"/>
      <c r="K518" s="4"/>
      <c r="L518" s="4"/>
      <c r="M518" s="4"/>
      <c r="N518" s="4"/>
      <c r="O518" s="4"/>
    </row>
    <row r="519" spans="1:15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</row>
    <row r="520" spans="1:15" x14ac:dyDescent="0.3">
      <c r="A520" s="4" t="s">
        <v>304</v>
      </c>
      <c r="B520" s="4" t="s">
        <v>47</v>
      </c>
      <c r="C520" s="4" t="s">
        <v>12</v>
      </c>
      <c r="D520" s="4">
        <v>13272534</v>
      </c>
      <c r="E520" s="4">
        <v>4240</v>
      </c>
      <c r="F520" s="4" t="s">
        <v>1433</v>
      </c>
      <c r="G520" s="4">
        <v>4240</v>
      </c>
      <c r="H520" s="4">
        <v>0</v>
      </c>
      <c r="I520" s="4">
        <v>0</v>
      </c>
      <c r="J520" s="4"/>
      <c r="K520" s="4"/>
      <c r="L520" s="4"/>
      <c r="M520" s="4"/>
      <c r="N520" s="4"/>
      <c r="O520" s="4"/>
    </row>
    <row r="521" spans="1:15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</row>
    <row r="522" spans="1:15" x14ac:dyDescent="0.3">
      <c r="A522" s="4" t="s">
        <v>305</v>
      </c>
      <c r="B522" s="4" t="s">
        <v>49</v>
      </c>
      <c r="C522" s="4" t="s">
        <v>12</v>
      </c>
      <c r="D522" s="4">
        <v>13280418</v>
      </c>
      <c r="E522" s="4">
        <v>230</v>
      </c>
      <c r="F522" s="4" t="s">
        <v>1433</v>
      </c>
      <c r="G522" s="4">
        <v>230</v>
      </c>
      <c r="H522" s="4">
        <v>0</v>
      </c>
      <c r="I522" s="4">
        <v>0</v>
      </c>
      <c r="J522" s="4"/>
      <c r="K522" s="4"/>
      <c r="L522" s="4"/>
      <c r="M522" s="4"/>
      <c r="N522" s="4"/>
      <c r="O522" s="4"/>
    </row>
    <row r="523" spans="1:15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</row>
    <row r="524" spans="1:15" x14ac:dyDescent="0.3">
      <c r="A524" s="4" t="s">
        <v>306</v>
      </c>
      <c r="B524" s="4" t="s">
        <v>49</v>
      </c>
      <c r="C524" s="4" t="s">
        <v>12</v>
      </c>
      <c r="D524" s="4">
        <v>13280526</v>
      </c>
      <c r="E524" s="4">
        <v>205</v>
      </c>
      <c r="F524" s="4" t="s">
        <v>1433</v>
      </c>
      <c r="G524" s="4">
        <v>205</v>
      </c>
      <c r="H524" s="4">
        <v>0</v>
      </c>
      <c r="I524" s="4">
        <v>0</v>
      </c>
      <c r="J524" s="4"/>
      <c r="K524" s="4"/>
      <c r="L524" s="4"/>
      <c r="M524" s="4"/>
      <c r="N524" s="4"/>
      <c r="O524" s="4"/>
    </row>
    <row r="525" spans="1:15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</row>
    <row r="526" spans="1:15" x14ac:dyDescent="0.3">
      <c r="A526" s="4" t="s">
        <v>307</v>
      </c>
      <c r="B526" s="4" t="s">
        <v>49</v>
      </c>
      <c r="C526" s="4" t="s">
        <v>12</v>
      </c>
      <c r="D526" s="4">
        <v>13284054</v>
      </c>
      <c r="E526" s="4">
        <v>7</v>
      </c>
      <c r="F526" s="4" t="s">
        <v>1433</v>
      </c>
      <c r="G526" s="4">
        <v>7</v>
      </c>
      <c r="H526" s="4">
        <v>0</v>
      </c>
      <c r="I526" s="4">
        <v>0</v>
      </c>
      <c r="J526" s="4"/>
      <c r="K526" s="4"/>
      <c r="L526" s="4"/>
      <c r="M526" s="4"/>
      <c r="N526" s="4"/>
      <c r="O526" s="4"/>
    </row>
    <row r="527" spans="1:15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</row>
    <row r="528" spans="1:15" x14ac:dyDescent="0.3">
      <c r="A528" s="4" t="s">
        <v>308</v>
      </c>
      <c r="B528" s="4" t="s">
        <v>47</v>
      </c>
      <c r="C528" s="4" t="s">
        <v>12</v>
      </c>
      <c r="D528" s="4">
        <v>13284312</v>
      </c>
      <c r="E528" s="4">
        <v>3369</v>
      </c>
      <c r="F528" s="4" t="s">
        <v>1433</v>
      </c>
      <c r="G528" s="4">
        <v>3369</v>
      </c>
      <c r="H528" s="4">
        <v>0</v>
      </c>
      <c r="I528" s="4">
        <v>0</v>
      </c>
      <c r="J528" s="4"/>
      <c r="K528" s="4"/>
      <c r="L528" s="4"/>
      <c r="M528" s="4"/>
      <c r="N528" s="4"/>
      <c r="O528" s="4"/>
    </row>
    <row r="529" spans="1:15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</row>
    <row r="530" spans="1:15" x14ac:dyDescent="0.3">
      <c r="A530" s="4" t="s">
        <v>309</v>
      </c>
      <c r="B530" s="4" t="s">
        <v>47</v>
      </c>
      <c r="C530" s="4" t="s">
        <v>12</v>
      </c>
      <c r="D530" s="4">
        <v>13284324</v>
      </c>
      <c r="E530" s="4">
        <v>2095</v>
      </c>
      <c r="F530" s="4" t="s">
        <v>1433</v>
      </c>
      <c r="G530" s="4">
        <v>2095</v>
      </c>
      <c r="H530" s="4">
        <v>0</v>
      </c>
      <c r="I530" s="4">
        <v>0</v>
      </c>
      <c r="J530" s="4"/>
      <c r="K530" s="4"/>
      <c r="L530" s="4"/>
      <c r="M530" s="4"/>
      <c r="N530" s="4"/>
      <c r="O530" s="4"/>
    </row>
    <row r="531" spans="1:15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</row>
    <row r="532" spans="1:15" x14ac:dyDescent="0.3">
      <c r="A532" s="4" t="s">
        <v>310</v>
      </c>
      <c r="B532" s="4" t="s">
        <v>49</v>
      </c>
      <c r="C532" s="4" t="s">
        <v>12</v>
      </c>
      <c r="D532" s="4">
        <v>13323414</v>
      </c>
      <c r="E532" s="4">
        <v>104</v>
      </c>
      <c r="F532" s="4" t="s">
        <v>1433</v>
      </c>
      <c r="G532" s="4">
        <v>104</v>
      </c>
      <c r="H532" s="4">
        <v>0</v>
      </c>
      <c r="I532" s="4">
        <v>0</v>
      </c>
      <c r="J532" s="4"/>
      <c r="K532" s="4"/>
      <c r="L532" s="4"/>
      <c r="M532" s="4"/>
      <c r="N532" s="4"/>
      <c r="O532" s="4"/>
    </row>
    <row r="533" spans="1:15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</row>
    <row r="534" spans="1:15" x14ac:dyDescent="0.3">
      <c r="A534" s="4" t="s">
        <v>311</v>
      </c>
      <c r="B534" s="4" t="s">
        <v>49</v>
      </c>
      <c r="C534" s="4" t="s">
        <v>12</v>
      </c>
      <c r="D534" s="4">
        <v>13357782</v>
      </c>
      <c r="E534" s="4">
        <v>95</v>
      </c>
      <c r="F534" s="4" t="s">
        <v>1433</v>
      </c>
      <c r="G534" s="4">
        <v>95</v>
      </c>
      <c r="H534" s="4">
        <v>0</v>
      </c>
      <c r="I534" s="4">
        <v>0</v>
      </c>
      <c r="J534" s="4"/>
      <c r="K534" s="4"/>
      <c r="L534" s="4"/>
      <c r="M534" s="4"/>
      <c r="N534" s="4"/>
      <c r="O534" s="4"/>
    </row>
    <row r="535" spans="1:15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</row>
    <row r="536" spans="1:15" x14ac:dyDescent="0.3">
      <c r="A536" s="4" t="s">
        <v>312</v>
      </c>
      <c r="B536" s="4" t="s">
        <v>47</v>
      </c>
      <c r="C536" s="4" t="s">
        <v>12</v>
      </c>
      <c r="D536" s="4">
        <v>13359492</v>
      </c>
      <c r="E536" s="4">
        <v>8358</v>
      </c>
      <c r="F536" s="4" t="s">
        <v>1433</v>
      </c>
      <c r="G536" s="4">
        <v>8358</v>
      </c>
      <c r="H536" s="4">
        <v>0</v>
      </c>
      <c r="I536" s="4">
        <v>0</v>
      </c>
      <c r="J536" s="4"/>
      <c r="K536" s="4"/>
      <c r="L536" s="4"/>
      <c r="M536" s="4"/>
      <c r="N536" s="4"/>
      <c r="O536" s="4"/>
    </row>
    <row r="537" spans="1:15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</row>
    <row r="538" spans="1:15" x14ac:dyDescent="0.3">
      <c r="A538" s="4" t="s">
        <v>313</v>
      </c>
      <c r="B538" s="4" t="s">
        <v>49</v>
      </c>
      <c r="C538" s="4" t="s">
        <v>12</v>
      </c>
      <c r="D538" s="4">
        <v>13363620</v>
      </c>
      <c r="E538" s="4">
        <v>19</v>
      </c>
      <c r="F538" s="4" t="s">
        <v>1433</v>
      </c>
      <c r="G538" s="4">
        <v>19</v>
      </c>
      <c r="H538" s="4">
        <v>0</v>
      </c>
      <c r="I538" s="4">
        <v>0</v>
      </c>
      <c r="J538" s="4"/>
      <c r="K538" s="4"/>
      <c r="L538" s="4"/>
      <c r="M538" s="4"/>
      <c r="N538" s="4"/>
      <c r="O538" s="4"/>
    </row>
    <row r="539" spans="1:15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</row>
    <row r="540" spans="1:15" x14ac:dyDescent="0.3">
      <c r="A540" s="4" t="s">
        <v>314</v>
      </c>
      <c r="B540" s="4" t="s">
        <v>49</v>
      </c>
      <c r="C540" s="4" t="s">
        <v>12</v>
      </c>
      <c r="D540" s="4">
        <v>13369608</v>
      </c>
      <c r="E540" s="4">
        <v>167</v>
      </c>
      <c r="F540" s="4" t="s">
        <v>1433</v>
      </c>
      <c r="G540" s="4">
        <v>167</v>
      </c>
      <c r="H540" s="4">
        <v>0</v>
      </c>
      <c r="I540" s="4">
        <v>0</v>
      </c>
      <c r="J540" s="4"/>
      <c r="K540" s="4"/>
      <c r="L540" s="4"/>
      <c r="M540" s="4"/>
      <c r="N540" s="4"/>
      <c r="O540" s="4"/>
    </row>
    <row r="541" spans="1:15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</row>
    <row r="542" spans="1:15" x14ac:dyDescent="0.3">
      <c r="A542" s="4" t="s">
        <v>315</v>
      </c>
      <c r="B542" s="4" t="s">
        <v>49</v>
      </c>
      <c r="C542" s="4" t="s">
        <v>12</v>
      </c>
      <c r="D542" s="4">
        <v>13369614</v>
      </c>
      <c r="E542" s="4">
        <v>170</v>
      </c>
      <c r="F542" s="4" t="s">
        <v>1433</v>
      </c>
      <c r="G542" s="4">
        <v>170</v>
      </c>
      <c r="H542" s="4">
        <v>0</v>
      </c>
      <c r="I542" s="4">
        <v>0</v>
      </c>
      <c r="J542" s="4"/>
      <c r="K542" s="4"/>
      <c r="L542" s="4"/>
      <c r="M542" s="4"/>
      <c r="N542" s="4"/>
      <c r="O542" s="4"/>
    </row>
    <row r="543" spans="1:15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</row>
    <row r="544" spans="1:15" x14ac:dyDescent="0.3">
      <c r="A544" s="4" t="s">
        <v>316</v>
      </c>
      <c r="B544" s="4" t="s">
        <v>49</v>
      </c>
      <c r="C544" s="4" t="s">
        <v>12</v>
      </c>
      <c r="D544" s="4">
        <v>13369626</v>
      </c>
      <c r="E544" s="4">
        <v>165</v>
      </c>
      <c r="F544" s="4" t="s">
        <v>1433</v>
      </c>
      <c r="G544" s="4">
        <v>165</v>
      </c>
      <c r="H544" s="4">
        <v>0</v>
      </c>
      <c r="I544" s="4">
        <v>0</v>
      </c>
      <c r="J544" s="4"/>
      <c r="K544" s="4"/>
      <c r="L544" s="4"/>
      <c r="M544" s="4"/>
      <c r="N544" s="4"/>
      <c r="O544" s="4"/>
    </row>
    <row r="545" spans="1:15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</row>
    <row r="546" spans="1:15" x14ac:dyDescent="0.3">
      <c r="A546" s="4" t="s">
        <v>317</v>
      </c>
      <c r="B546" s="4" t="s">
        <v>49</v>
      </c>
      <c r="C546" s="4" t="s">
        <v>12</v>
      </c>
      <c r="D546" s="4">
        <v>13369632</v>
      </c>
      <c r="E546" s="4">
        <v>177</v>
      </c>
      <c r="F546" s="4" t="s">
        <v>1433</v>
      </c>
      <c r="G546" s="4">
        <v>177</v>
      </c>
      <c r="H546" s="4">
        <v>0</v>
      </c>
      <c r="I546" s="4">
        <v>0</v>
      </c>
      <c r="J546" s="4"/>
      <c r="K546" s="4"/>
      <c r="L546" s="4"/>
      <c r="M546" s="4"/>
      <c r="N546" s="4"/>
      <c r="O546" s="4"/>
    </row>
    <row r="547" spans="1:15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</row>
    <row r="548" spans="1:15" x14ac:dyDescent="0.3">
      <c r="A548" s="4" t="s">
        <v>318</v>
      </c>
      <c r="B548" s="4" t="s">
        <v>49</v>
      </c>
      <c r="C548" s="4" t="s">
        <v>12</v>
      </c>
      <c r="D548" s="4">
        <v>13369638</v>
      </c>
      <c r="E548" s="4">
        <v>277</v>
      </c>
      <c r="F548" s="4" t="s">
        <v>1433</v>
      </c>
      <c r="G548" s="4">
        <v>277</v>
      </c>
      <c r="H548" s="4">
        <v>0</v>
      </c>
      <c r="I548" s="4">
        <v>0</v>
      </c>
      <c r="J548" s="4"/>
      <c r="K548" s="4"/>
      <c r="L548" s="4"/>
      <c r="M548" s="4"/>
      <c r="N548" s="4"/>
      <c r="O548" s="4"/>
    </row>
    <row r="549" spans="1:15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</row>
    <row r="550" spans="1:15" x14ac:dyDescent="0.3">
      <c r="A550" s="4" t="s">
        <v>319</v>
      </c>
      <c r="B550" s="4" t="s">
        <v>49</v>
      </c>
      <c r="C550" s="4" t="s">
        <v>12</v>
      </c>
      <c r="D550" s="4">
        <v>13369656</v>
      </c>
      <c r="E550" s="4">
        <v>344</v>
      </c>
      <c r="F550" s="4" t="s">
        <v>1433</v>
      </c>
      <c r="G550" s="4">
        <v>344</v>
      </c>
      <c r="H550" s="4">
        <v>0</v>
      </c>
      <c r="I550" s="4">
        <v>0</v>
      </c>
      <c r="J550" s="4"/>
      <c r="K550" s="4"/>
      <c r="L550" s="4"/>
      <c r="M550" s="4"/>
      <c r="N550" s="4"/>
      <c r="O550" s="4"/>
    </row>
    <row r="551" spans="1:15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</row>
    <row r="552" spans="1:15" x14ac:dyDescent="0.3">
      <c r="A552" s="4" t="s">
        <v>320</v>
      </c>
      <c r="B552" s="4" t="s">
        <v>49</v>
      </c>
      <c r="C552" s="4" t="s">
        <v>12</v>
      </c>
      <c r="D552" s="4">
        <v>13372596</v>
      </c>
      <c r="E552" s="4">
        <v>509</v>
      </c>
      <c r="F552" s="4" t="s">
        <v>1433</v>
      </c>
      <c r="G552" s="4">
        <v>509</v>
      </c>
      <c r="H552" s="4">
        <v>0</v>
      </c>
      <c r="I552" s="4">
        <v>0</v>
      </c>
      <c r="J552" s="4"/>
      <c r="K552" s="4"/>
      <c r="L552" s="4"/>
      <c r="M552" s="4"/>
      <c r="N552" s="4"/>
      <c r="O552" s="4"/>
    </row>
    <row r="553" spans="1:15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</row>
    <row r="554" spans="1:15" x14ac:dyDescent="0.3">
      <c r="A554" s="4" t="s">
        <v>321</v>
      </c>
      <c r="B554" s="4" t="s">
        <v>49</v>
      </c>
      <c r="C554" s="4" t="s">
        <v>12</v>
      </c>
      <c r="D554" s="4">
        <v>13376382</v>
      </c>
      <c r="E554" s="4">
        <v>675</v>
      </c>
      <c r="F554" s="4" t="s">
        <v>1433</v>
      </c>
      <c r="G554" s="4">
        <v>675</v>
      </c>
      <c r="H554" s="4">
        <v>0</v>
      </c>
      <c r="I554" s="4">
        <v>0</v>
      </c>
      <c r="J554" s="4"/>
      <c r="K554" s="4"/>
      <c r="L554" s="4"/>
      <c r="M554" s="4"/>
      <c r="N554" s="4"/>
      <c r="O554" s="4"/>
    </row>
    <row r="555" spans="1:15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</row>
    <row r="556" spans="1:15" x14ac:dyDescent="0.3">
      <c r="A556" s="4" t="s">
        <v>322</v>
      </c>
      <c r="B556" s="4" t="s">
        <v>49</v>
      </c>
      <c r="C556" s="4" t="s">
        <v>12</v>
      </c>
      <c r="D556" s="4">
        <v>13377600</v>
      </c>
      <c r="E556" s="4">
        <v>2300</v>
      </c>
      <c r="F556" s="4" t="s">
        <v>1433</v>
      </c>
      <c r="G556" s="4">
        <v>2300</v>
      </c>
      <c r="H556" s="4">
        <v>0</v>
      </c>
      <c r="I556" s="4">
        <v>0</v>
      </c>
      <c r="J556" s="4"/>
      <c r="K556" s="4"/>
      <c r="L556" s="4"/>
      <c r="M556" s="4"/>
      <c r="N556" s="4"/>
      <c r="O556" s="4"/>
    </row>
    <row r="557" spans="1:15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</row>
    <row r="558" spans="1:15" x14ac:dyDescent="0.3">
      <c r="A558" s="4" t="s">
        <v>323</v>
      </c>
      <c r="B558" s="4" t="s">
        <v>49</v>
      </c>
      <c r="C558" s="4" t="s">
        <v>12</v>
      </c>
      <c r="D558" s="4">
        <v>13381386</v>
      </c>
      <c r="E558" s="4">
        <v>151</v>
      </c>
      <c r="F558" s="4" t="s">
        <v>1433</v>
      </c>
      <c r="G558" s="4">
        <v>151</v>
      </c>
      <c r="H558" s="4">
        <v>0</v>
      </c>
      <c r="I558" s="4">
        <v>0</v>
      </c>
      <c r="J558" s="4"/>
      <c r="K558" s="4"/>
      <c r="L558" s="4"/>
      <c r="M558" s="4"/>
      <c r="N558" s="4"/>
      <c r="O558" s="4"/>
    </row>
    <row r="559" spans="1:15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</row>
    <row r="560" spans="1:15" x14ac:dyDescent="0.3">
      <c r="A560" s="4" t="s">
        <v>324</v>
      </c>
      <c r="B560" s="4" t="s">
        <v>49</v>
      </c>
      <c r="C560" s="4" t="s">
        <v>12</v>
      </c>
      <c r="D560" s="4">
        <v>13381398</v>
      </c>
      <c r="E560" s="4">
        <v>146</v>
      </c>
      <c r="F560" s="4" t="s">
        <v>1433</v>
      </c>
      <c r="G560" s="4">
        <v>146</v>
      </c>
      <c r="H560" s="4">
        <v>0</v>
      </c>
      <c r="I560" s="4">
        <v>0</v>
      </c>
      <c r="J560" s="4"/>
      <c r="K560" s="4"/>
      <c r="L560" s="4"/>
      <c r="M560" s="4"/>
      <c r="N560" s="4"/>
      <c r="O560" s="4"/>
    </row>
    <row r="561" spans="1:15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</row>
    <row r="562" spans="1:15" x14ac:dyDescent="0.3">
      <c r="A562" s="4" t="s">
        <v>325</v>
      </c>
      <c r="B562" s="4" t="s">
        <v>49</v>
      </c>
      <c r="C562" s="4" t="s">
        <v>12</v>
      </c>
      <c r="D562" s="4">
        <v>13381404</v>
      </c>
      <c r="E562" s="4">
        <v>103</v>
      </c>
      <c r="F562" s="4" t="s">
        <v>1433</v>
      </c>
      <c r="G562" s="4">
        <v>103</v>
      </c>
      <c r="H562" s="4">
        <v>0</v>
      </c>
      <c r="I562" s="4">
        <v>0</v>
      </c>
      <c r="J562" s="4"/>
      <c r="K562" s="4"/>
      <c r="L562" s="4"/>
      <c r="M562" s="4"/>
      <c r="N562" s="4"/>
      <c r="O562" s="4"/>
    </row>
    <row r="563" spans="1:15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</row>
    <row r="564" spans="1:15" x14ac:dyDescent="0.3">
      <c r="A564" s="4" t="s">
        <v>326</v>
      </c>
      <c r="B564" s="4" t="s">
        <v>49</v>
      </c>
      <c r="C564" s="4" t="s">
        <v>12</v>
      </c>
      <c r="D564" s="4">
        <v>13381410</v>
      </c>
      <c r="E564" s="4">
        <v>110</v>
      </c>
      <c r="F564" s="4" t="s">
        <v>1433</v>
      </c>
      <c r="G564" s="4">
        <v>110</v>
      </c>
      <c r="H564" s="4">
        <v>0</v>
      </c>
      <c r="I564" s="4">
        <v>0</v>
      </c>
      <c r="J564" s="4"/>
      <c r="K564" s="4"/>
      <c r="L564" s="4"/>
      <c r="M564" s="4"/>
      <c r="N564" s="4"/>
      <c r="O564" s="4"/>
    </row>
    <row r="565" spans="1:15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</row>
    <row r="566" spans="1:15" x14ac:dyDescent="0.3">
      <c r="A566" s="4" t="s">
        <v>327</v>
      </c>
      <c r="B566" s="4" t="s">
        <v>49</v>
      </c>
      <c r="C566" s="4" t="s">
        <v>12</v>
      </c>
      <c r="D566" s="4">
        <v>13381422</v>
      </c>
      <c r="E566" s="4">
        <v>51</v>
      </c>
      <c r="F566" s="4" t="s">
        <v>1433</v>
      </c>
      <c r="G566" s="4">
        <v>51</v>
      </c>
      <c r="H566" s="4">
        <v>0</v>
      </c>
      <c r="I566" s="4">
        <v>0</v>
      </c>
      <c r="J566" s="4"/>
      <c r="K566" s="4"/>
      <c r="L566" s="4"/>
      <c r="M566" s="4"/>
      <c r="N566" s="4"/>
      <c r="O566" s="4"/>
    </row>
    <row r="567" spans="1:15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</row>
    <row r="568" spans="1:15" x14ac:dyDescent="0.3">
      <c r="A568" s="4" t="s">
        <v>328</v>
      </c>
      <c r="B568" s="4" t="s">
        <v>49</v>
      </c>
      <c r="C568" s="4" t="s">
        <v>12</v>
      </c>
      <c r="D568" s="4">
        <v>13381458</v>
      </c>
      <c r="E568" s="4">
        <v>54</v>
      </c>
      <c r="F568" s="4" t="s">
        <v>1433</v>
      </c>
      <c r="G568" s="4">
        <v>54</v>
      </c>
      <c r="H568" s="4">
        <v>0</v>
      </c>
      <c r="I568" s="4">
        <v>0</v>
      </c>
      <c r="J568" s="4"/>
      <c r="K568" s="4"/>
      <c r="L568" s="4"/>
      <c r="M568" s="4"/>
      <c r="N568" s="4"/>
      <c r="O568" s="4"/>
    </row>
    <row r="569" spans="1:15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</row>
    <row r="570" spans="1:15" x14ac:dyDescent="0.3">
      <c r="A570" s="4" t="s">
        <v>329</v>
      </c>
      <c r="B570" s="4" t="s">
        <v>49</v>
      </c>
      <c r="C570" s="4" t="s">
        <v>12</v>
      </c>
      <c r="D570" s="4">
        <v>13381488</v>
      </c>
      <c r="E570" s="4">
        <v>38</v>
      </c>
      <c r="F570" s="4" t="s">
        <v>1433</v>
      </c>
      <c r="G570" s="4">
        <v>38</v>
      </c>
      <c r="H570" s="4">
        <v>0</v>
      </c>
      <c r="I570" s="4">
        <v>0</v>
      </c>
      <c r="J570" s="4"/>
      <c r="K570" s="4"/>
      <c r="L570" s="4"/>
      <c r="M570" s="4"/>
      <c r="N570" s="4"/>
      <c r="O570" s="4"/>
    </row>
    <row r="571" spans="1:15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</row>
    <row r="572" spans="1:15" x14ac:dyDescent="0.3">
      <c r="A572" s="4" t="s">
        <v>330</v>
      </c>
      <c r="B572" s="4" t="s">
        <v>49</v>
      </c>
      <c r="C572" s="4" t="s">
        <v>12</v>
      </c>
      <c r="D572" s="4">
        <v>13388172</v>
      </c>
      <c r="E572" s="4">
        <v>369</v>
      </c>
      <c r="F572" s="4" t="s">
        <v>1433</v>
      </c>
      <c r="G572" s="4">
        <v>369</v>
      </c>
      <c r="H572" s="4">
        <v>0</v>
      </c>
      <c r="I572" s="4">
        <v>0</v>
      </c>
      <c r="J572" s="4"/>
      <c r="K572" s="4"/>
      <c r="L572" s="4"/>
      <c r="M572" s="4"/>
      <c r="N572" s="4"/>
      <c r="O572" s="4"/>
    </row>
    <row r="573" spans="1:15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</row>
    <row r="574" spans="1:15" x14ac:dyDescent="0.3">
      <c r="A574" s="4" t="s">
        <v>331</v>
      </c>
      <c r="B574" s="4" t="s">
        <v>49</v>
      </c>
      <c r="C574" s="4" t="s">
        <v>12</v>
      </c>
      <c r="D574" s="4">
        <v>13390968</v>
      </c>
      <c r="E574" s="4">
        <v>121</v>
      </c>
      <c r="F574" s="4" t="s">
        <v>1433</v>
      </c>
      <c r="G574" s="4">
        <v>121</v>
      </c>
      <c r="H574" s="4">
        <v>0</v>
      </c>
      <c r="I574" s="4">
        <v>0</v>
      </c>
      <c r="J574" s="4"/>
      <c r="K574" s="4"/>
      <c r="L574" s="4"/>
      <c r="M574" s="4"/>
      <c r="N574" s="4"/>
      <c r="O574" s="4"/>
    </row>
    <row r="575" spans="1:15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</row>
    <row r="576" spans="1:15" x14ac:dyDescent="0.3">
      <c r="A576" s="4" t="s">
        <v>332</v>
      </c>
      <c r="B576" s="4" t="s">
        <v>49</v>
      </c>
      <c r="C576" s="4" t="s">
        <v>12</v>
      </c>
      <c r="D576" s="4">
        <v>13390974</v>
      </c>
      <c r="E576" s="4">
        <v>205</v>
      </c>
      <c r="F576" s="4" t="s">
        <v>1433</v>
      </c>
      <c r="G576" s="4">
        <v>205</v>
      </c>
      <c r="H576" s="4">
        <v>0</v>
      </c>
      <c r="I576" s="4">
        <v>0</v>
      </c>
      <c r="J576" s="4"/>
      <c r="K576" s="4"/>
      <c r="L576" s="4"/>
      <c r="M576" s="4"/>
      <c r="N576" s="4"/>
      <c r="O576" s="4"/>
    </row>
    <row r="577" spans="1:15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</row>
    <row r="578" spans="1:15" x14ac:dyDescent="0.3">
      <c r="A578" s="4" t="s">
        <v>333</v>
      </c>
      <c r="B578" s="4" t="s">
        <v>47</v>
      </c>
      <c r="C578" s="4" t="s">
        <v>12</v>
      </c>
      <c r="D578" s="4">
        <v>13402344</v>
      </c>
      <c r="E578" s="4">
        <v>6842</v>
      </c>
      <c r="F578" s="4" t="s">
        <v>1433</v>
      </c>
      <c r="G578" s="4">
        <v>6842</v>
      </c>
      <c r="H578" s="4">
        <v>0</v>
      </c>
      <c r="I578" s="4">
        <v>0</v>
      </c>
      <c r="J578" s="4"/>
      <c r="K578" s="4"/>
      <c r="L578" s="4"/>
      <c r="M578" s="4"/>
      <c r="N578" s="4"/>
      <c r="O578" s="4"/>
    </row>
    <row r="579" spans="1:15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</row>
    <row r="580" spans="1:15" x14ac:dyDescent="0.3">
      <c r="A580" s="4" t="s">
        <v>334</v>
      </c>
      <c r="B580" s="4" t="s">
        <v>49</v>
      </c>
      <c r="C580" s="4" t="s">
        <v>12</v>
      </c>
      <c r="D580" s="4">
        <v>13406040</v>
      </c>
      <c r="E580" s="4">
        <v>60</v>
      </c>
      <c r="F580" s="4" t="s">
        <v>1433</v>
      </c>
      <c r="G580" s="4">
        <v>60</v>
      </c>
      <c r="H580" s="4">
        <v>0</v>
      </c>
      <c r="I580" s="4">
        <v>0</v>
      </c>
      <c r="J580" s="4"/>
      <c r="K580" s="4"/>
      <c r="L580" s="4"/>
      <c r="M580" s="4"/>
      <c r="N580" s="4"/>
      <c r="O580" s="4"/>
    </row>
    <row r="581" spans="1:15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</row>
    <row r="582" spans="1:15" x14ac:dyDescent="0.3">
      <c r="A582" s="4" t="s">
        <v>335</v>
      </c>
      <c r="B582" s="4" t="s">
        <v>49</v>
      </c>
      <c r="C582" s="4" t="s">
        <v>12</v>
      </c>
      <c r="D582" s="4">
        <v>13406046</v>
      </c>
      <c r="E582" s="4">
        <v>33</v>
      </c>
      <c r="F582" s="4" t="s">
        <v>1433</v>
      </c>
      <c r="G582" s="4">
        <v>33</v>
      </c>
      <c r="H582" s="4">
        <v>0</v>
      </c>
      <c r="I582" s="4">
        <v>0</v>
      </c>
      <c r="J582" s="4"/>
      <c r="K582" s="4"/>
      <c r="L582" s="4"/>
      <c r="M582" s="4"/>
      <c r="N582" s="4"/>
      <c r="O582" s="4"/>
    </row>
    <row r="583" spans="1:15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</row>
    <row r="584" spans="1:15" x14ac:dyDescent="0.3">
      <c r="A584" s="4" t="s">
        <v>336</v>
      </c>
      <c r="B584" s="4" t="s">
        <v>49</v>
      </c>
      <c r="C584" s="4" t="s">
        <v>12</v>
      </c>
      <c r="D584" s="4">
        <v>13406310</v>
      </c>
      <c r="E584" s="4">
        <v>33</v>
      </c>
      <c r="F584" s="4" t="s">
        <v>1433</v>
      </c>
      <c r="G584" s="4">
        <v>33</v>
      </c>
      <c r="H584" s="4">
        <v>0</v>
      </c>
      <c r="I584" s="4">
        <v>0</v>
      </c>
      <c r="J584" s="4"/>
      <c r="K584" s="4"/>
      <c r="L584" s="4"/>
      <c r="M584" s="4"/>
      <c r="N584" s="4"/>
      <c r="O584" s="4"/>
    </row>
    <row r="585" spans="1:15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</row>
    <row r="586" spans="1:15" x14ac:dyDescent="0.3">
      <c r="A586" s="4" t="s">
        <v>337</v>
      </c>
      <c r="B586" s="4" t="s">
        <v>49</v>
      </c>
      <c r="C586" s="4" t="s">
        <v>12</v>
      </c>
      <c r="D586" s="4">
        <v>13406322</v>
      </c>
      <c r="E586" s="4">
        <v>33</v>
      </c>
      <c r="F586" s="4" t="s">
        <v>1433</v>
      </c>
      <c r="G586" s="4">
        <v>33</v>
      </c>
      <c r="H586" s="4">
        <v>0</v>
      </c>
      <c r="I586" s="4">
        <v>0</v>
      </c>
      <c r="J586" s="4"/>
      <c r="K586" s="4"/>
      <c r="L586" s="4"/>
      <c r="M586" s="4"/>
      <c r="N586" s="4"/>
      <c r="O586" s="4"/>
    </row>
    <row r="587" spans="1:15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</row>
    <row r="588" spans="1:15" x14ac:dyDescent="0.3">
      <c r="A588" s="4" t="s">
        <v>338</v>
      </c>
      <c r="B588" s="4" t="s">
        <v>49</v>
      </c>
      <c r="C588" s="4" t="s">
        <v>12</v>
      </c>
      <c r="D588" s="4">
        <v>13406328</v>
      </c>
      <c r="E588" s="4">
        <v>62</v>
      </c>
      <c r="F588" s="4" t="s">
        <v>1433</v>
      </c>
      <c r="G588" s="4">
        <v>62</v>
      </c>
      <c r="H588" s="4">
        <v>0</v>
      </c>
      <c r="I588" s="4">
        <v>0</v>
      </c>
      <c r="J588" s="4"/>
      <c r="K588" s="4"/>
      <c r="L588" s="4"/>
      <c r="M588" s="4"/>
      <c r="N588" s="4"/>
      <c r="O588" s="4"/>
    </row>
    <row r="589" spans="1:15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</row>
    <row r="590" spans="1:15" x14ac:dyDescent="0.3">
      <c r="A590" s="4" t="s">
        <v>339</v>
      </c>
      <c r="B590" s="4" t="s">
        <v>49</v>
      </c>
      <c r="C590" s="4" t="s">
        <v>12</v>
      </c>
      <c r="D590" s="4">
        <v>13406334</v>
      </c>
      <c r="E590" s="4">
        <v>61</v>
      </c>
      <c r="F590" s="4" t="s">
        <v>1433</v>
      </c>
      <c r="G590" s="4">
        <v>61</v>
      </c>
      <c r="H590" s="4">
        <v>0</v>
      </c>
      <c r="I590" s="4">
        <v>0</v>
      </c>
      <c r="J590" s="4"/>
      <c r="K590" s="4"/>
      <c r="L590" s="4"/>
      <c r="M590" s="4"/>
      <c r="N590" s="4"/>
      <c r="O590" s="4"/>
    </row>
    <row r="591" spans="1:15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</row>
    <row r="592" spans="1:15" x14ac:dyDescent="0.3">
      <c r="A592" s="4" t="s">
        <v>340</v>
      </c>
      <c r="B592" s="4" t="s">
        <v>47</v>
      </c>
      <c r="C592" s="4" t="s">
        <v>12</v>
      </c>
      <c r="D592" s="4">
        <v>13409694</v>
      </c>
      <c r="E592" s="4">
        <v>1660</v>
      </c>
      <c r="F592" s="4" t="s">
        <v>1433</v>
      </c>
      <c r="G592" s="4">
        <v>1660</v>
      </c>
      <c r="H592" s="4">
        <v>0</v>
      </c>
      <c r="I592" s="4">
        <v>0</v>
      </c>
      <c r="J592" s="4"/>
      <c r="K592" s="4"/>
      <c r="L592" s="4"/>
      <c r="M592" s="4"/>
      <c r="N592" s="4"/>
      <c r="O592" s="4"/>
    </row>
    <row r="593" spans="1:15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</row>
    <row r="594" spans="1:15" x14ac:dyDescent="0.3">
      <c r="A594" s="4" t="s">
        <v>341</v>
      </c>
      <c r="B594" s="4" t="s">
        <v>49</v>
      </c>
      <c r="C594" s="4" t="s">
        <v>12</v>
      </c>
      <c r="D594" s="4">
        <v>13416696</v>
      </c>
      <c r="E594" s="4">
        <v>2615</v>
      </c>
      <c r="F594" s="4" t="s">
        <v>1433</v>
      </c>
      <c r="G594" s="4">
        <v>2615</v>
      </c>
      <c r="H594" s="4">
        <v>0</v>
      </c>
      <c r="I594" s="4">
        <v>0</v>
      </c>
      <c r="J594" s="4"/>
      <c r="K594" s="4"/>
      <c r="L594" s="4"/>
      <c r="M594" s="4"/>
      <c r="N594" s="4"/>
      <c r="O594" s="4"/>
    </row>
    <row r="595" spans="1:15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</row>
    <row r="596" spans="1:15" x14ac:dyDescent="0.3">
      <c r="A596" s="4" t="s">
        <v>342</v>
      </c>
      <c r="B596" s="4" t="s">
        <v>47</v>
      </c>
      <c r="C596" s="4" t="s">
        <v>12</v>
      </c>
      <c r="D596" s="4">
        <v>13416888</v>
      </c>
      <c r="E596" s="4">
        <v>1224</v>
      </c>
      <c r="F596" s="4" t="s">
        <v>1433</v>
      </c>
      <c r="G596" s="4">
        <v>1224</v>
      </c>
      <c r="H596" s="4">
        <v>0</v>
      </c>
      <c r="I596" s="4">
        <v>0</v>
      </c>
      <c r="J596" s="4"/>
      <c r="K596" s="4"/>
      <c r="L596" s="4"/>
      <c r="M596" s="4"/>
      <c r="N596" s="4"/>
      <c r="O596" s="4"/>
    </row>
    <row r="597" spans="1:15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</row>
    <row r="598" spans="1:15" x14ac:dyDescent="0.3">
      <c r="A598" s="4" t="s">
        <v>343</v>
      </c>
      <c r="B598" s="4" t="s">
        <v>49</v>
      </c>
      <c r="C598" s="4" t="s">
        <v>12</v>
      </c>
      <c r="D598" s="4">
        <v>13423620</v>
      </c>
      <c r="E598" s="4">
        <v>1499</v>
      </c>
      <c r="F598" s="4" t="s">
        <v>1433</v>
      </c>
      <c r="G598" s="4">
        <v>1499</v>
      </c>
      <c r="H598" s="4">
        <v>0</v>
      </c>
      <c r="I598" s="4">
        <v>0</v>
      </c>
      <c r="J598" s="4"/>
      <c r="K598" s="4"/>
      <c r="L598" s="4"/>
      <c r="M598" s="4"/>
      <c r="N598" s="4"/>
      <c r="O598" s="4"/>
    </row>
    <row r="599" spans="1:15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</row>
    <row r="600" spans="1:15" x14ac:dyDescent="0.3">
      <c r="A600" s="4" t="s">
        <v>344</v>
      </c>
      <c r="B600" s="4" t="s">
        <v>49</v>
      </c>
      <c r="C600" s="4" t="s">
        <v>12</v>
      </c>
      <c r="D600" s="4">
        <v>13454232</v>
      </c>
      <c r="E600" s="4">
        <v>310</v>
      </c>
      <c r="F600" s="4" t="s">
        <v>1433</v>
      </c>
      <c r="G600" s="4">
        <v>310</v>
      </c>
      <c r="H600" s="4">
        <v>0</v>
      </c>
      <c r="I600" s="4">
        <v>0</v>
      </c>
      <c r="J600" s="4"/>
      <c r="K600" s="4"/>
      <c r="L600" s="4"/>
      <c r="M600" s="4"/>
      <c r="N600" s="4"/>
      <c r="O600" s="4"/>
    </row>
    <row r="601" spans="1:15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</row>
    <row r="602" spans="1:15" x14ac:dyDescent="0.3">
      <c r="A602" s="4" t="s">
        <v>345</v>
      </c>
      <c r="B602" s="4" t="s">
        <v>49</v>
      </c>
      <c r="C602" s="4" t="s">
        <v>12</v>
      </c>
      <c r="D602" s="4">
        <v>13520880</v>
      </c>
      <c r="E602" s="4">
        <v>307</v>
      </c>
      <c r="F602" s="4" t="s">
        <v>1433</v>
      </c>
      <c r="G602" s="4">
        <v>307</v>
      </c>
      <c r="H602" s="4">
        <v>0</v>
      </c>
      <c r="I602" s="4">
        <v>0</v>
      </c>
      <c r="J602" s="4"/>
      <c r="K602" s="4"/>
      <c r="L602" s="4"/>
      <c r="M602" s="4"/>
      <c r="N602" s="4"/>
      <c r="O602" s="4"/>
    </row>
    <row r="603" spans="1:15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</row>
    <row r="604" spans="1:15" x14ac:dyDescent="0.3">
      <c r="A604" s="4" t="s">
        <v>346</v>
      </c>
      <c r="B604" s="4" t="s">
        <v>49</v>
      </c>
      <c r="C604" s="4" t="s">
        <v>12</v>
      </c>
      <c r="D604" s="4">
        <v>13520886</v>
      </c>
      <c r="E604" s="4">
        <v>257</v>
      </c>
      <c r="F604" s="4" t="s">
        <v>1433</v>
      </c>
      <c r="G604" s="4">
        <v>257</v>
      </c>
      <c r="H604" s="4">
        <v>0</v>
      </c>
      <c r="I604" s="4">
        <v>0</v>
      </c>
      <c r="J604" s="4"/>
      <c r="K604" s="4"/>
      <c r="L604" s="4"/>
      <c r="M604" s="4"/>
      <c r="N604" s="4"/>
      <c r="O604" s="4"/>
    </row>
    <row r="605" spans="1:15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</row>
    <row r="606" spans="1:15" x14ac:dyDescent="0.3">
      <c r="A606" s="4" t="s">
        <v>347</v>
      </c>
      <c r="B606" s="4" t="s">
        <v>47</v>
      </c>
      <c r="C606" s="4" t="s">
        <v>12</v>
      </c>
      <c r="D606" s="4">
        <v>13535652</v>
      </c>
      <c r="E606" s="4">
        <v>20825</v>
      </c>
      <c r="F606" s="4" t="s">
        <v>1433</v>
      </c>
      <c r="G606" s="4">
        <v>20825</v>
      </c>
      <c r="H606" s="4">
        <v>0</v>
      </c>
      <c r="I606" s="4">
        <v>0</v>
      </c>
      <c r="J606" s="4"/>
      <c r="K606" s="4"/>
      <c r="L606" s="4"/>
      <c r="M606" s="4"/>
      <c r="N606" s="4"/>
      <c r="O606" s="4"/>
    </row>
    <row r="607" spans="1:15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</row>
    <row r="608" spans="1:15" x14ac:dyDescent="0.3">
      <c r="A608" s="4" t="s">
        <v>348</v>
      </c>
      <c r="B608" s="4" t="s">
        <v>49</v>
      </c>
      <c r="C608" s="4" t="s">
        <v>12</v>
      </c>
      <c r="D608" s="4">
        <v>13576032</v>
      </c>
      <c r="E608" s="4">
        <v>10</v>
      </c>
      <c r="F608" s="4" t="s">
        <v>1433</v>
      </c>
      <c r="G608" s="4">
        <v>10</v>
      </c>
      <c r="H608" s="4">
        <v>0</v>
      </c>
      <c r="I608" s="4">
        <v>0</v>
      </c>
      <c r="J608" s="4"/>
      <c r="K608" s="4"/>
      <c r="L608" s="4"/>
      <c r="M608" s="4"/>
      <c r="N608" s="4"/>
      <c r="O608" s="4"/>
    </row>
    <row r="609" spans="1:15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</row>
    <row r="610" spans="1:15" x14ac:dyDescent="0.3">
      <c r="A610" s="4" t="s">
        <v>349</v>
      </c>
      <c r="B610" s="4" t="s">
        <v>49</v>
      </c>
      <c r="C610" s="4" t="s">
        <v>12</v>
      </c>
      <c r="D610" s="4">
        <v>13599198</v>
      </c>
      <c r="E610" s="4">
        <v>115</v>
      </c>
      <c r="F610" s="4" t="s">
        <v>1433</v>
      </c>
      <c r="G610" s="4">
        <v>115</v>
      </c>
      <c r="H610" s="4">
        <v>0</v>
      </c>
      <c r="I610" s="4">
        <v>0</v>
      </c>
      <c r="J610" s="4"/>
      <c r="K610" s="4"/>
      <c r="L610" s="4"/>
      <c r="M610" s="4"/>
      <c r="N610" s="4"/>
      <c r="O610" s="4"/>
    </row>
    <row r="611" spans="1:15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</row>
    <row r="612" spans="1:15" x14ac:dyDescent="0.3">
      <c r="A612" s="4" t="s">
        <v>350</v>
      </c>
      <c r="B612" s="4" t="s">
        <v>49</v>
      </c>
      <c r="C612" s="4" t="s">
        <v>12</v>
      </c>
      <c r="D612" s="4">
        <v>13622706</v>
      </c>
      <c r="E612" s="4">
        <v>3208</v>
      </c>
      <c r="F612" s="4" t="s">
        <v>1433</v>
      </c>
      <c r="G612" s="4">
        <v>3208</v>
      </c>
      <c r="H612" s="4">
        <v>0</v>
      </c>
      <c r="I612" s="4">
        <v>0</v>
      </c>
      <c r="J612" s="4"/>
      <c r="K612" s="4"/>
      <c r="L612" s="4"/>
      <c r="M612" s="4"/>
      <c r="N612" s="4"/>
      <c r="O612" s="4"/>
    </row>
    <row r="613" spans="1:15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</row>
    <row r="614" spans="1:15" x14ac:dyDescent="0.3">
      <c r="A614" s="4" t="s">
        <v>351</v>
      </c>
      <c r="B614" s="4" t="s">
        <v>49</v>
      </c>
      <c r="C614" s="4" t="s">
        <v>12</v>
      </c>
      <c r="D614" s="4">
        <v>13622712</v>
      </c>
      <c r="E614" s="4">
        <v>7798</v>
      </c>
      <c r="F614" s="4" t="s">
        <v>1433</v>
      </c>
      <c r="G614" s="4">
        <v>7798</v>
      </c>
      <c r="H614" s="4">
        <v>0</v>
      </c>
      <c r="I614" s="4">
        <v>0</v>
      </c>
      <c r="J614" s="4"/>
      <c r="K614" s="4"/>
      <c r="L614" s="4"/>
      <c r="M614" s="4"/>
      <c r="N614" s="4"/>
      <c r="O614" s="4"/>
    </row>
    <row r="615" spans="1:15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</row>
    <row r="616" spans="1:15" x14ac:dyDescent="0.3">
      <c r="A616" s="4" t="s">
        <v>352</v>
      </c>
      <c r="B616" s="4" t="s">
        <v>49</v>
      </c>
      <c r="C616" s="4" t="s">
        <v>12</v>
      </c>
      <c r="D616" s="4">
        <v>13622718</v>
      </c>
      <c r="E616" s="4">
        <v>2657</v>
      </c>
      <c r="F616" s="4" t="s">
        <v>1433</v>
      </c>
      <c r="G616" s="4">
        <v>2657</v>
      </c>
      <c r="H616" s="4">
        <v>0</v>
      </c>
      <c r="I616" s="4">
        <v>0</v>
      </c>
      <c r="J616" s="4"/>
      <c r="K616" s="4"/>
      <c r="L616" s="4"/>
      <c r="M616" s="4"/>
      <c r="N616" s="4"/>
      <c r="O616" s="4"/>
    </row>
    <row r="617" spans="1:15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</row>
    <row r="618" spans="1:15" x14ac:dyDescent="0.3">
      <c r="A618" s="4" t="s">
        <v>353</v>
      </c>
      <c r="B618" s="4" t="s">
        <v>49</v>
      </c>
      <c r="C618" s="4" t="s">
        <v>12</v>
      </c>
      <c r="D618" s="4">
        <v>13756560</v>
      </c>
      <c r="E618" s="4">
        <v>22</v>
      </c>
      <c r="F618" s="4" t="s">
        <v>1433</v>
      </c>
      <c r="G618" s="4">
        <v>22</v>
      </c>
      <c r="H618" s="4">
        <v>0</v>
      </c>
      <c r="I618" s="4">
        <v>0</v>
      </c>
      <c r="J618" s="4"/>
      <c r="K618" s="4"/>
      <c r="L618" s="4"/>
      <c r="M618" s="4"/>
      <c r="N618" s="4"/>
      <c r="O618" s="4"/>
    </row>
    <row r="619" spans="1:15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</row>
    <row r="620" spans="1:15" x14ac:dyDescent="0.3">
      <c r="A620" s="4" t="s">
        <v>354</v>
      </c>
      <c r="B620" s="4" t="s">
        <v>49</v>
      </c>
      <c r="C620" s="4" t="s">
        <v>12</v>
      </c>
      <c r="D620" s="4">
        <v>13759698</v>
      </c>
      <c r="E620" s="4">
        <v>71</v>
      </c>
      <c r="F620" s="4" t="s">
        <v>1433</v>
      </c>
      <c r="G620" s="4">
        <v>71</v>
      </c>
      <c r="H620" s="4">
        <v>0</v>
      </c>
      <c r="I620" s="4">
        <v>0</v>
      </c>
      <c r="J620" s="4"/>
      <c r="K620" s="4"/>
      <c r="L620" s="4"/>
      <c r="M620" s="4"/>
      <c r="N620" s="4"/>
      <c r="O620" s="4"/>
    </row>
    <row r="621" spans="1:15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</row>
    <row r="622" spans="1:15" x14ac:dyDescent="0.3">
      <c r="A622" s="4" t="s">
        <v>355</v>
      </c>
      <c r="B622" s="4" t="s">
        <v>49</v>
      </c>
      <c r="C622" s="4" t="s">
        <v>12</v>
      </c>
      <c r="D622" s="4">
        <v>13802454</v>
      </c>
      <c r="E622" s="4">
        <v>29</v>
      </c>
      <c r="F622" s="4" t="s">
        <v>1433</v>
      </c>
      <c r="G622" s="4">
        <v>29</v>
      </c>
      <c r="H622" s="4">
        <v>0</v>
      </c>
      <c r="I622" s="4">
        <v>0</v>
      </c>
      <c r="J622" s="4"/>
      <c r="K622" s="4"/>
      <c r="L622" s="4"/>
      <c r="M622" s="4"/>
      <c r="N622" s="4"/>
      <c r="O622" s="4"/>
    </row>
    <row r="623" spans="1:15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</row>
    <row r="624" spans="1:15" x14ac:dyDescent="0.3">
      <c r="A624" s="4" t="s">
        <v>356</v>
      </c>
      <c r="B624" s="4" t="s">
        <v>49</v>
      </c>
      <c r="C624" s="4" t="s">
        <v>12</v>
      </c>
      <c r="D624" s="4">
        <v>13802466</v>
      </c>
      <c r="E624" s="4">
        <v>22</v>
      </c>
      <c r="F624" s="4" t="s">
        <v>1433</v>
      </c>
      <c r="G624" s="4">
        <v>22</v>
      </c>
      <c r="H624" s="4">
        <v>0</v>
      </c>
      <c r="I624" s="4">
        <v>0</v>
      </c>
      <c r="J624" s="4"/>
      <c r="K624" s="4"/>
      <c r="L624" s="4"/>
      <c r="M624" s="4"/>
      <c r="N624" s="4"/>
      <c r="O624" s="4"/>
    </row>
    <row r="625" spans="1:15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</row>
    <row r="626" spans="1:15" x14ac:dyDescent="0.3">
      <c r="A626" s="4" t="s">
        <v>357</v>
      </c>
      <c r="B626" s="4" t="s">
        <v>49</v>
      </c>
      <c r="C626" s="4" t="s">
        <v>12</v>
      </c>
      <c r="D626" s="4">
        <v>13802796</v>
      </c>
      <c r="E626" s="4">
        <v>79</v>
      </c>
      <c r="F626" s="4" t="s">
        <v>1433</v>
      </c>
      <c r="G626" s="4">
        <v>79</v>
      </c>
      <c r="H626" s="4">
        <v>0</v>
      </c>
      <c r="I626" s="4">
        <v>0</v>
      </c>
      <c r="J626" s="4"/>
      <c r="K626" s="4"/>
      <c r="L626" s="4"/>
      <c r="M626" s="4"/>
      <c r="N626" s="4"/>
      <c r="O626" s="4"/>
    </row>
    <row r="627" spans="1:15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</row>
    <row r="628" spans="1:15" x14ac:dyDescent="0.3">
      <c r="A628" s="4" t="s">
        <v>358</v>
      </c>
      <c r="B628" s="4" t="s">
        <v>49</v>
      </c>
      <c r="C628" s="4" t="s">
        <v>12</v>
      </c>
      <c r="D628" s="4">
        <v>13803690</v>
      </c>
      <c r="E628" s="4">
        <v>45</v>
      </c>
      <c r="F628" s="4" t="s">
        <v>1433</v>
      </c>
      <c r="G628" s="4">
        <v>45</v>
      </c>
      <c r="H628" s="4">
        <v>0</v>
      </c>
      <c r="I628" s="4">
        <v>0</v>
      </c>
      <c r="J628" s="4"/>
      <c r="K628" s="4"/>
      <c r="L628" s="4"/>
      <c r="M628" s="4"/>
      <c r="N628" s="4"/>
      <c r="O628" s="4"/>
    </row>
    <row r="629" spans="1:15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</row>
    <row r="630" spans="1:15" x14ac:dyDescent="0.3">
      <c r="A630" s="4" t="s">
        <v>359</v>
      </c>
      <c r="B630" s="4" t="s">
        <v>49</v>
      </c>
      <c r="C630" s="4" t="s">
        <v>12</v>
      </c>
      <c r="D630" s="4">
        <v>13806276</v>
      </c>
      <c r="E630" s="4">
        <v>54</v>
      </c>
      <c r="F630" s="4" t="s">
        <v>1433</v>
      </c>
      <c r="G630" s="4">
        <v>54</v>
      </c>
      <c r="H630" s="4">
        <v>0</v>
      </c>
      <c r="I630" s="4">
        <v>0</v>
      </c>
      <c r="J630" s="4"/>
      <c r="K630" s="4"/>
      <c r="L630" s="4"/>
      <c r="M630" s="4"/>
      <c r="N630" s="4"/>
      <c r="O630" s="4"/>
    </row>
    <row r="631" spans="1:15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</row>
    <row r="632" spans="1:15" x14ac:dyDescent="0.3">
      <c r="A632" s="4" t="s">
        <v>360</v>
      </c>
      <c r="B632" s="4" t="s">
        <v>49</v>
      </c>
      <c r="C632" s="4" t="s">
        <v>12</v>
      </c>
      <c r="D632" s="4">
        <v>13806444</v>
      </c>
      <c r="E632" s="4">
        <v>19</v>
      </c>
      <c r="F632" s="4" t="s">
        <v>1433</v>
      </c>
      <c r="G632" s="4">
        <v>19</v>
      </c>
      <c r="H632" s="4">
        <v>0</v>
      </c>
      <c r="I632" s="4">
        <v>0</v>
      </c>
      <c r="J632" s="4"/>
      <c r="K632" s="4"/>
      <c r="L632" s="4"/>
      <c r="M632" s="4"/>
      <c r="N632" s="4"/>
      <c r="O632" s="4"/>
    </row>
    <row r="633" spans="1:15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</row>
    <row r="634" spans="1:15" x14ac:dyDescent="0.3">
      <c r="A634" s="4" t="s">
        <v>361</v>
      </c>
      <c r="B634" s="4" t="s">
        <v>49</v>
      </c>
      <c r="C634" s="4" t="s">
        <v>12</v>
      </c>
      <c r="D634" s="4">
        <v>13807698</v>
      </c>
      <c r="E634" s="4">
        <v>15</v>
      </c>
      <c r="F634" s="4" t="s">
        <v>1433</v>
      </c>
      <c r="G634" s="4">
        <v>15</v>
      </c>
      <c r="H634" s="4">
        <v>0</v>
      </c>
      <c r="I634" s="4">
        <v>0</v>
      </c>
      <c r="J634" s="4"/>
      <c r="K634" s="4"/>
      <c r="L634" s="4"/>
      <c r="M634" s="4"/>
      <c r="N634" s="4"/>
      <c r="O634" s="4"/>
    </row>
    <row r="635" spans="1:15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</row>
    <row r="636" spans="1:15" x14ac:dyDescent="0.3">
      <c r="A636" s="4" t="s">
        <v>362</v>
      </c>
      <c r="B636" s="4" t="s">
        <v>49</v>
      </c>
      <c r="C636" s="4" t="s">
        <v>12</v>
      </c>
      <c r="D636" s="4">
        <v>13808634</v>
      </c>
      <c r="E636" s="4">
        <v>445</v>
      </c>
      <c r="F636" s="4" t="s">
        <v>1433</v>
      </c>
      <c r="G636" s="4">
        <v>445</v>
      </c>
      <c r="H636" s="4">
        <v>0</v>
      </c>
      <c r="I636" s="4">
        <v>0</v>
      </c>
      <c r="J636" s="4"/>
      <c r="K636" s="4"/>
      <c r="L636" s="4"/>
      <c r="M636" s="4"/>
      <c r="N636" s="4"/>
      <c r="O636" s="4"/>
    </row>
    <row r="637" spans="1:15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</row>
    <row r="638" spans="1:15" x14ac:dyDescent="0.3">
      <c r="A638" s="4" t="s">
        <v>363</v>
      </c>
      <c r="B638" s="4" t="s">
        <v>49</v>
      </c>
      <c r="C638" s="4" t="s">
        <v>12</v>
      </c>
      <c r="D638" s="4">
        <v>13827954</v>
      </c>
      <c r="E638" s="4">
        <v>47</v>
      </c>
      <c r="F638" s="4" t="s">
        <v>1433</v>
      </c>
      <c r="G638" s="4">
        <v>47</v>
      </c>
      <c r="H638" s="4">
        <v>0</v>
      </c>
      <c r="I638" s="4">
        <v>0</v>
      </c>
      <c r="J638" s="4"/>
      <c r="K638" s="4"/>
      <c r="L638" s="4"/>
      <c r="M638" s="4"/>
      <c r="N638" s="4"/>
      <c r="O638" s="4"/>
    </row>
    <row r="639" spans="1:15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</row>
    <row r="640" spans="1:15" x14ac:dyDescent="0.3">
      <c r="A640" s="4" t="s">
        <v>364</v>
      </c>
      <c r="B640" s="4" t="s">
        <v>49</v>
      </c>
      <c r="C640" s="4" t="s">
        <v>12</v>
      </c>
      <c r="D640" s="4">
        <v>13832544</v>
      </c>
      <c r="E640" s="4">
        <v>1514</v>
      </c>
      <c r="F640" s="4" t="s">
        <v>1433</v>
      </c>
      <c r="G640" s="4">
        <v>1514</v>
      </c>
      <c r="H640" s="4">
        <v>0</v>
      </c>
      <c r="I640" s="4">
        <v>0</v>
      </c>
      <c r="J640" s="4"/>
      <c r="K640" s="4"/>
      <c r="L640" s="4"/>
      <c r="M640" s="4"/>
      <c r="N640" s="4"/>
      <c r="O640" s="4"/>
    </row>
    <row r="641" spans="1:15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</row>
    <row r="642" spans="1:15" x14ac:dyDescent="0.3">
      <c r="A642" s="4" t="s">
        <v>365</v>
      </c>
      <c r="B642" s="4" t="s">
        <v>49</v>
      </c>
      <c r="C642" s="4" t="s">
        <v>12</v>
      </c>
      <c r="D642" s="4">
        <v>13850448</v>
      </c>
      <c r="E642" s="4">
        <v>16</v>
      </c>
      <c r="F642" s="4" t="s">
        <v>1433</v>
      </c>
      <c r="G642" s="4">
        <v>16</v>
      </c>
      <c r="H642" s="4">
        <v>0</v>
      </c>
      <c r="I642" s="4">
        <v>0</v>
      </c>
      <c r="J642" s="4"/>
      <c r="K642" s="4"/>
      <c r="L642" s="4"/>
      <c r="M642" s="4"/>
      <c r="N642" s="4"/>
      <c r="O642" s="4"/>
    </row>
    <row r="643" spans="1:15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</row>
    <row r="644" spans="1:15" x14ac:dyDescent="0.3">
      <c r="A644" s="4" t="s">
        <v>366</v>
      </c>
      <c r="B644" s="4" t="s">
        <v>49</v>
      </c>
      <c r="C644" s="4" t="s">
        <v>12</v>
      </c>
      <c r="D644" s="4">
        <v>13850466</v>
      </c>
      <c r="E644" s="4">
        <v>135</v>
      </c>
      <c r="F644" s="4" t="s">
        <v>1433</v>
      </c>
      <c r="G644" s="4">
        <v>135</v>
      </c>
      <c r="H644" s="4">
        <v>0</v>
      </c>
      <c r="I644" s="4">
        <v>0</v>
      </c>
      <c r="J644" s="4"/>
      <c r="K644" s="4"/>
      <c r="L644" s="4"/>
      <c r="M644" s="4"/>
      <c r="N644" s="4"/>
      <c r="O644" s="4"/>
    </row>
    <row r="645" spans="1:15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</row>
    <row r="646" spans="1:15" x14ac:dyDescent="0.3">
      <c r="A646" s="4" t="s">
        <v>367</v>
      </c>
      <c r="B646" s="4" t="s">
        <v>49</v>
      </c>
      <c r="C646" s="4" t="s">
        <v>12</v>
      </c>
      <c r="D646" s="4">
        <v>13865898</v>
      </c>
      <c r="E646" s="4">
        <v>12</v>
      </c>
      <c r="F646" s="4" t="s">
        <v>1433</v>
      </c>
      <c r="G646" s="4">
        <v>12</v>
      </c>
      <c r="H646" s="4">
        <v>0</v>
      </c>
      <c r="I646" s="4">
        <v>0</v>
      </c>
      <c r="J646" s="4"/>
      <c r="K646" s="4"/>
      <c r="L646" s="4"/>
      <c r="M646" s="4"/>
      <c r="N646" s="4"/>
      <c r="O646" s="4"/>
    </row>
    <row r="647" spans="1:15" x14ac:dyDescent="0.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</row>
    <row r="648" spans="1:15" x14ac:dyDescent="0.3">
      <c r="A648" s="4" t="s">
        <v>368</v>
      </c>
      <c r="B648" s="4" t="s">
        <v>49</v>
      </c>
      <c r="C648" s="4" t="s">
        <v>12</v>
      </c>
      <c r="D648" s="4">
        <v>13870524</v>
      </c>
      <c r="E648" s="4">
        <v>142</v>
      </c>
      <c r="F648" s="4" t="s">
        <v>1433</v>
      </c>
      <c r="G648" s="4">
        <v>142</v>
      </c>
      <c r="H648" s="4">
        <v>0</v>
      </c>
      <c r="I648" s="4">
        <v>0</v>
      </c>
      <c r="J648" s="4"/>
      <c r="K648" s="4"/>
      <c r="L648" s="4"/>
      <c r="M648" s="4"/>
      <c r="N648" s="4"/>
      <c r="O648" s="4"/>
    </row>
    <row r="649" spans="1:15" x14ac:dyDescent="0.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</row>
    <row r="650" spans="1:15" x14ac:dyDescent="0.3">
      <c r="A650" s="4" t="s">
        <v>369</v>
      </c>
      <c r="B650" s="4" t="s">
        <v>49</v>
      </c>
      <c r="C650" s="4" t="s">
        <v>12</v>
      </c>
      <c r="D650" s="4">
        <v>13871706</v>
      </c>
      <c r="E650" s="4">
        <v>13</v>
      </c>
      <c r="F650" s="4" t="s">
        <v>1433</v>
      </c>
      <c r="G650" s="4">
        <v>13</v>
      </c>
      <c r="H650" s="4">
        <v>0</v>
      </c>
      <c r="I650" s="4">
        <v>0</v>
      </c>
      <c r="J650" s="4"/>
      <c r="K650" s="4"/>
      <c r="L650" s="4"/>
      <c r="M650" s="4"/>
      <c r="N650" s="4"/>
      <c r="O650" s="4"/>
    </row>
    <row r="651" spans="1:15" x14ac:dyDescent="0.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</row>
    <row r="652" spans="1:15" x14ac:dyDescent="0.3">
      <c r="A652" s="4" t="s">
        <v>370</v>
      </c>
      <c r="B652" s="4" t="s">
        <v>49</v>
      </c>
      <c r="C652" s="4" t="s">
        <v>12</v>
      </c>
      <c r="D652" s="4">
        <v>13871760</v>
      </c>
      <c r="E652" s="4">
        <v>5</v>
      </c>
      <c r="F652" s="4" t="s">
        <v>1433</v>
      </c>
      <c r="G652" s="4">
        <v>5</v>
      </c>
      <c r="H652" s="4">
        <v>0</v>
      </c>
      <c r="I652" s="4">
        <v>0</v>
      </c>
      <c r="J652" s="4"/>
      <c r="K652" s="4"/>
      <c r="L652" s="4"/>
      <c r="M652" s="4"/>
      <c r="N652" s="4"/>
      <c r="O652" s="4"/>
    </row>
    <row r="653" spans="1:15" x14ac:dyDescent="0.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</row>
    <row r="654" spans="1:15" x14ac:dyDescent="0.3">
      <c r="A654" s="4" t="s">
        <v>371</v>
      </c>
      <c r="B654" s="4" t="s">
        <v>49</v>
      </c>
      <c r="C654" s="4" t="s">
        <v>12</v>
      </c>
      <c r="D654" s="4">
        <v>13871772</v>
      </c>
      <c r="E654" s="4">
        <v>22</v>
      </c>
      <c r="F654" s="4" t="s">
        <v>1433</v>
      </c>
      <c r="G654" s="4">
        <v>22</v>
      </c>
      <c r="H654" s="4">
        <v>0</v>
      </c>
      <c r="I654" s="4">
        <v>0</v>
      </c>
      <c r="J654" s="4"/>
      <c r="K654" s="4"/>
      <c r="L654" s="4"/>
      <c r="M654" s="4"/>
      <c r="N654" s="4"/>
      <c r="O654" s="4"/>
    </row>
    <row r="655" spans="1:15" x14ac:dyDescent="0.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</row>
    <row r="656" spans="1:15" x14ac:dyDescent="0.3">
      <c r="A656" s="4" t="s">
        <v>372</v>
      </c>
      <c r="B656" s="4" t="s">
        <v>49</v>
      </c>
      <c r="C656" s="4" t="s">
        <v>12</v>
      </c>
      <c r="D656" s="4">
        <v>13876926</v>
      </c>
      <c r="E656" s="4">
        <v>95</v>
      </c>
      <c r="F656" s="4" t="s">
        <v>1433</v>
      </c>
      <c r="G656" s="4">
        <v>95</v>
      </c>
      <c r="H656" s="4">
        <v>0</v>
      </c>
      <c r="I656" s="4">
        <v>0</v>
      </c>
      <c r="J656" s="4"/>
      <c r="K656" s="4"/>
      <c r="L656" s="4"/>
      <c r="M656" s="4"/>
      <c r="N656" s="4"/>
      <c r="O656" s="4"/>
    </row>
    <row r="657" spans="1:15" x14ac:dyDescent="0.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</row>
    <row r="658" spans="1:15" x14ac:dyDescent="0.3">
      <c r="A658" s="4" t="s">
        <v>373</v>
      </c>
      <c r="B658" s="4" t="s">
        <v>49</v>
      </c>
      <c r="C658" s="4" t="s">
        <v>12</v>
      </c>
      <c r="D658" s="4">
        <v>13883088</v>
      </c>
      <c r="E658" s="4">
        <v>54</v>
      </c>
      <c r="F658" s="4" t="s">
        <v>1433</v>
      </c>
      <c r="G658" s="4">
        <v>54</v>
      </c>
      <c r="H658" s="4">
        <v>0</v>
      </c>
      <c r="I658" s="4">
        <v>0</v>
      </c>
      <c r="J658" s="4"/>
      <c r="K658" s="4"/>
      <c r="L658" s="4"/>
      <c r="M658" s="4"/>
      <c r="N658" s="4"/>
      <c r="O658" s="4"/>
    </row>
    <row r="659" spans="1:15" x14ac:dyDescent="0.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</row>
    <row r="660" spans="1:15" x14ac:dyDescent="0.3">
      <c r="A660" s="4" t="s">
        <v>374</v>
      </c>
      <c r="B660" s="4" t="s">
        <v>49</v>
      </c>
      <c r="C660" s="4" t="s">
        <v>12</v>
      </c>
      <c r="D660" s="4">
        <v>13883910</v>
      </c>
      <c r="E660" s="4">
        <v>21</v>
      </c>
      <c r="F660" s="4" t="s">
        <v>1433</v>
      </c>
      <c r="G660" s="4">
        <v>21</v>
      </c>
      <c r="H660" s="4">
        <v>0</v>
      </c>
      <c r="I660" s="4">
        <v>0</v>
      </c>
      <c r="J660" s="4"/>
      <c r="K660" s="4"/>
      <c r="L660" s="4"/>
      <c r="M660" s="4"/>
      <c r="N660" s="4"/>
      <c r="O660" s="4"/>
    </row>
    <row r="661" spans="1:15" x14ac:dyDescent="0.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</row>
    <row r="662" spans="1:15" x14ac:dyDescent="0.3">
      <c r="A662" s="4" t="s">
        <v>375</v>
      </c>
      <c r="B662" s="4" t="s">
        <v>49</v>
      </c>
      <c r="C662" s="4" t="s">
        <v>12</v>
      </c>
      <c r="D662" s="4">
        <v>13887378</v>
      </c>
      <c r="E662" s="4">
        <v>215</v>
      </c>
      <c r="F662" s="4" t="s">
        <v>1433</v>
      </c>
      <c r="G662" s="4">
        <v>215</v>
      </c>
      <c r="H662" s="4">
        <v>0</v>
      </c>
      <c r="I662" s="4">
        <v>0</v>
      </c>
      <c r="J662" s="4"/>
      <c r="K662" s="4"/>
      <c r="L662" s="4"/>
      <c r="M662" s="4"/>
      <c r="N662" s="4"/>
      <c r="O662" s="4"/>
    </row>
    <row r="663" spans="1:15" x14ac:dyDescent="0.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</row>
    <row r="664" spans="1:15" x14ac:dyDescent="0.3">
      <c r="A664" s="4" t="s">
        <v>376</v>
      </c>
      <c r="B664" s="4" t="s">
        <v>49</v>
      </c>
      <c r="C664" s="4" t="s">
        <v>12</v>
      </c>
      <c r="D664" s="4">
        <v>13890522</v>
      </c>
      <c r="E664" s="4">
        <v>18</v>
      </c>
      <c r="F664" s="4" t="s">
        <v>1433</v>
      </c>
      <c r="G664" s="4">
        <v>18</v>
      </c>
      <c r="H664" s="4">
        <v>0</v>
      </c>
      <c r="I664" s="4">
        <v>0</v>
      </c>
      <c r="J664" s="4"/>
      <c r="K664" s="4"/>
      <c r="L664" s="4"/>
      <c r="M664" s="4"/>
      <c r="N664" s="4"/>
      <c r="O664" s="4"/>
    </row>
    <row r="665" spans="1:15" x14ac:dyDescent="0.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</row>
    <row r="666" spans="1:15" x14ac:dyDescent="0.3">
      <c r="A666" s="4" t="s">
        <v>377</v>
      </c>
      <c r="B666" s="4" t="s">
        <v>49</v>
      </c>
      <c r="C666" s="4" t="s">
        <v>12</v>
      </c>
      <c r="D666" s="4">
        <v>13901136</v>
      </c>
      <c r="E666" s="4">
        <v>34</v>
      </c>
      <c r="F666" s="4" t="s">
        <v>1433</v>
      </c>
      <c r="G666" s="4">
        <v>34</v>
      </c>
      <c r="H666" s="4">
        <v>0</v>
      </c>
      <c r="I666" s="4">
        <v>0</v>
      </c>
      <c r="J666" s="4"/>
      <c r="K666" s="4"/>
      <c r="L666" s="4"/>
      <c r="M666" s="4"/>
      <c r="N666" s="4"/>
      <c r="O666" s="4"/>
    </row>
    <row r="667" spans="1:15" x14ac:dyDescent="0.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</row>
    <row r="668" spans="1:15" x14ac:dyDescent="0.3">
      <c r="A668" s="4" t="s">
        <v>378</v>
      </c>
      <c r="B668" s="4" t="s">
        <v>49</v>
      </c>
      <c r="C668" s="4" t="s">
        <v>12</v>
      </c>
      <c r="D668" s="4">
        <v>13901532</v>
      </c>
      <c r="E668" s="4">
        <v>15</v>
      </c>
      <c r="F668" s="4" t="s">
        <v>1433</v>
      </c>
      <c r="G668" s="4">
        <v>15</v>
      </c>
      <c r="H668" s="4">
        <v>0</v>
      </c>
      <c r="I668" s="4">
        <v>0</v>
      </c>
      <c r="J668" s="4"/>
      <c r="K668" s="4"/>
      <c r="L668" s="4"/>
      <c r="M668" s="4"/>
      <c r="N668" s="4"/>
      <c r="O668" s="4"/>
    </row>
    <row r="669" spans="1:15" x14ac:dyDescent="0.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</row>
    <row r="670" spans="1:15" x14ac:dyDescent="0.3">
      <c r="A670" s="4" t="s">
        <v>379</v>
      </c>
      <c r="B670" s="4" t="s">
        <v>49</v>
      </c>
      <c r="C670" s="4" t="s">
        <v>12</v>
      </c>
      <c r="D670" s="4">
        <v>13910010</v>
      </c>
      <c r="E670" s="4">
        <v>5080</v>
      </c>
      <c r="F670" s="4" t="s">
        <v>1433</v>
      </c>
      <c r="G670" s="4">
        <v>5080</v>
      </c>
      <c r="H670" s="4">
        <v>0</v>
      </c>
      <c r="I670" s="4">
        <v>0</v>
      </c>
      <c r="J670" s="4"/>
      <c r="K670" s="4"/>
      <c r="L670" s="4"/>
      <c r="M670" s="4"/>
      <c r="N670" s="4"/>
      <c r="O670" s="4"/>
    </row>
    <row r="671" spans="1:15" x14ac:dyDescent="0.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</row>
    <row r="672" spans="1:15" x14ac:dyDescent="0.3">
      <c r="A672" s="4" t="s">
        <v>380</v>
      </c>
      <c r="B672" s="4" t="s">
        <v>49</v>
      </c>
      <c r="C672" s="4" t="s">
        <v>12</v>
      </c>
      <c r="D672" s="4">
        <v>13910028</v>
      </c>
      <c r="E672" s="4">
        <v>34</v>
      </c>
      <c r="F672" s="4" t="s">
        <v>1433</v>
      </c>
      <c r="G672" s="4">
        <v>34</v>
      </c>
      <c r="H672" s="4">
        <v>0</v>
      </c>
      <c r="I672" s="4">
        <v>0</v>
      </c>
      <c r="J672" s="4"/>
      <c r="K672" s="4"/>
      <c r="L672" s="4"/>
      <c r="M672" s="4"/>
      <c r="N672" s="4"/>
      <c r="O672" s="4"/>
    </row>
    <row r="673" spans="1:15" x14ac:dyDescent="0.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</row>
    <row r="674" spans="1:15" x14ac:dyDescent="0.3">
      <c r="A674" s="4" t="s">
        <v>381</v>
      </c>
      <c r="B674" s="4" t="s">
        <v>49</v>
      </c>
      <c r="C674" s="4" t="s">
        <v>12</v>
      </c>
      <c r="D674" s="4">
        <v>13914948</v>
      </c>
      <c r="E674" s="4">
        <v>18</v>
      </c>
      <c r="F674" s="4" t="s">
        <v>1433</v>
      </c>
      <c r="G674" s="4">
        <v>18</v>
      </c>
      <c r="H674" s="4">
        <v>0</v>
      </c>
      <c r="I674" s="4">
        <v>0</v>
      </c>
      <c r="J674" s="4"/>
      <c r="K674" s="4"/>
      <c r="L674" s="4"/>
      <c r="M674" s="4"/>
      <c r="N674" s="4"/>
      <c r="O674" s="4"/>
    </row>
    <row r="675" spans="1:15" x14ac:dyDescent="0.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</row>
    <row r="676" spans="1:15" x14ac:dyDescent="0.3">
      <c r="A676" s="4" t="s">
        <v>382</v>
      </c>
      <c r="B676" s="4" t="s">
        <v>49</v>
      </c>
      <c r="C676" s="4" t="s">
        <v>12</v>
      </c>
      <c r="D676" s="4">
        <v>13921800</v>
      </c>
      <c r="E676" s="4">
        <v>24</v>
      </c>
      <c r="F676" s="4" t="s">
        <v>1433</v>
      </c>
      <c r="G676" s="4">
        <v>24</v>
      </c>
      <c r="H676" s="4">
        <v>0</v>
      </c>
      <c r="I676" s="4">
        <v>0</v>
      </c>
      <c r="J676" s="4"/>
      <c r="K676" s="4"/>
      <c r="L676" s="4"/>
      <c r="M676" s="4"/>
      <c r="N676" s="4"/>
      <c r="O676" s="4"/>
    </row>
    <row r="677" spans="1:15" x14ac:dyDescent="0.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</row>
    <row r="678" spans="1:15" x14ac:dyDescent="0.3">
      <c r="A678" s="4" t="s">
        <v>383</v>
      </c>
      <c r="B678" s="4" t="s">
        <v>49</v>
      </c>
      <c r="C678" s="4" t="s">
        <v>12</v>
      </c>
      <c r="D678" s="4">
        <v>13924182</v>
      </c>
      <c r="E678" s="4">
        <v>170</v>
      </c>
      <c r="F678" s="4" t="s">
        <v>1433</v>
      </c>
      <c r="G678" s="4">
        <v>170</v>
      </c>
      <c r="H678" s="4">
        <v>0</v>
      </c>
      <c r="I678" s="4">
        <v>0</v>
      </c>
      <c r="J678" s="4"/>
      <c r="K678" s="4"/>
      <c r="L678" s="4"/>
      <c r="M678" s="4"/>
      <c r="N678" s="4"/>
      <c r="O678" s="4"/>
    </row>
    <row r="679" spans="1:15" x14ac:dyDescent="0.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</row>
    <row r="680" spans="1:15" x14ac:dyDescent="0.3">
      <c r="A680" s="4" t="s">
        <v>384</v>
      </c>
      <c r="B680" s="4" t="s">
        <v>49</v>
      </c>
      <c r="C680" s="4" t="s">
        <v>12</v>
      </c>
      <c r="D680" s="4">
        <v>13925160</v>
      </c>
      <c r="E680" s="4">
        <v>1920</v>
      </c>
      <c r="F680" s="4" t="s">
        <v>1433</v>
      </c>
      <c r="G680" s="4">
        <v>1920</v>
      </c>
      <c r="H680" s="4">
        <v>0</v>
      </c>
      <c r="I680" s="4">
        <v>0</v>
      </c>
      <c r="J680" s="4"/>
      <c r="K680" s="4"/>
      <c r="L680" s="4"/>
      <c r="M680" s="4"/>
      <c r="N680" s="4"/>
      <c r="O680" s="4"/>
    </row>
    <row r="681" spans="1:15" x14ac:dyDescent="0.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</row>
    <row r="682" spans="1:15" x14ac:dyDescent="0.3">
      <c r="A682" s="4" t="s">
        <v>385</v>
      </c>
      <c r="B682" s="4" t="s">
        <v>49</v>
      </c>
      <c r="C682" s="4" t="s">
        <v>12</v>
      </c>
      <c r="D682" s="4">
        <v>13929366</v>
      </c>
      <c r="E682" s="4">
        <v>13</v>
      </c>
      <c r="F682" s="4" t="s">
        <v>1433</v>
      </c>
      <c r="G682" s="4">
        <v>13</v>
      </c>
      <c r="H682" s="4">
        <v>0</v>
      </c>
      <c r="I682" s="4">
        <v>0</v>
      </c>
      <c r="J682" s="4"/>
      <c r="K682" s="4"/>
      <c r="L682" s="4"/>
      <c r="M682" s="4"/>
      <c r="N682" s="4"/>
      <c r="O682" s="4"/>
    </row>
    <row r="683" spans="1:15" x14ac:dyDescent="0.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</row>
    <row r="684" spans="1:15" x14ac:dyDescent="0.3">
      <c r="A684" s="4" t="s">
        <v>386</v>
      </c>
      <c r="B684" s="4" t="s">
        <v>49</v>
      </c>
      <c r="C684" s="4" t="s">
        <v>12</v>
      </c>
      <c r="D684" s="4">
        <v>13930800</v>
      </c>
      <c r="E684" s="4">
        <v>60</v>
      </c>
      <c r="F684" s="4" t="s">
        <v>1433</v>
      </c>
      <c r="G684" s="4">
        <v>60</v>
      </c>
      <c r="H684" s="4">
        <v>0</v>
      </c>
      <c r="I684" s="4">
        <v>0</v>
      </c>
      <c r="J684" s="4"/>
      <c r="K684" s="4"/>
      <c r="L684" s="4"/>
      <c r="M684" s="4"/>
      <c r="N684" s="4"/>
      <c r="O684" s="4"/>
    </row>
    <row r="685" spans="1:15" x14ac:dyDescent="0.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</row>
    <row r="686" spans="1:15" x14ac:dyDescent="0.3">
      <c r="A686" s="4" t="s">
        <v>387</v>
      </c>
      <c r="B686" s="4" t="s">
        <v>49</v>
      </c>
      <c r="C686" s="4" t="s">
        <v>12</v>
      </c>
      <c r="D686" s="4">
        <v>13932858</v>
      </c>
      <c r="E686" s="4">
        <v>735</v>
      </c>
      <c r="F686" s="4" t="s">
        <v>1433</v>
      </c>
      <c r="G686" s="4">
        <v>735</v>
      </c>
      <c r="H686" s="4">
        <v>0</v>
      </c>
      <c r="I686" s="4">
        <v>0</v>
      </c>
      <c r="J686" s="4"/>
      <c r="K686" s="4"/>
      <c r="L686" s="4"/>
      <c r="M686" s="4"/>
      <c r="N686" s="4"/>
      <c r="O686" s="4"/>
    </row>
    <row r="687" spans="1:15" x14ac:dyDescent="0.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</row>
    <row r="688" spans="1:15" x14ac:dyDescent="0.3">
      <c r="A688" s="4" t="s">
        <v>388</v>
      </c>
      <c r="B688" s="4" t="s">
        <v>49</v>
      </c>
      <c r="C688" s="4" t="s">
        <v>12</v>
      </c>
      <c r="D688" s="4">
        <v>13936860</v>
      </c>
      <c r="E688" s="4">
        <v>6</v>
      </c>
      <c r="F688" s="4" t="s">
        <v>1433</v>
      </c>
      <c r="G688" s="4">
        <v>6</v>
      </c>
      <c r="H688" s="4">
        <v>0</v>
      </c>
      <c r="I688" s="4">
        <v>0</v>
      </c>
      <c r="J688" s="4"/>
      <c r="K688" s="4"/>
      <c r="L688" s="4"/>
      <c r="M688" s="4"/>
      <c r="N688" s="4"/>
      <c r="O688" s="4"/>
    </row>
    <row r="689" spans="1:15" x14ac:dyDescent="0.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</row>
    <row r="690" spans="1:15" x14ac:dyDescent="0.3">
      <c r="A690" s="4" t="s">
        <v>389</v>
      </c>
      <c r="B690" s="4" t="s">
        <v>49</v>
      </c>
      <c r="C690" s="4" t="s">
        <v>12</v>
      </c>
      <c r="D690" s="4">
        <v>13941330</v>
      </c>
      <c r="E690" s="4">
        <v>22</v>
      </c>
      <c r="F690" s="4" t="s">
        <v>1433</v>
      </c>
      <c r="G690" s="4">
        <v>22</v>
      </c>
      <c r="H690" s="4">
        <v>0</v>
      </c>
      <c r="I690" s="4">
        <v>0</v>
      </c>
      <c r="J690" s="4"/>
      <c r="K690" s="4"/>
      <c r="L690" s="4"/>
      <c r="M690" s="4"/>
      <c r="N690" s="4"/>
      <c r="O690" s="4"/>
    </row>
    <row r="691" spans="1:15" x14ac:dyDescent="0.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</row>
    <row r="692" spans="1:15" x14ac:dyDescent="0.3">
      <c r="A692" s="4" t="s">
        <v>390</v>
      </c>
      <c r="B692" s="4" t="s">
        <v>49</v>
      </c>
      <c r="C692" s="4" t="s">
        <v>12</v>
      </c>
      <c r="D692" s="4">
        <v>13941492</v>
      </c>
      <c r="E692" s="4">
        <v>53</v>
      </c>
      <c r="F692" s="4" t="s">
        <v>1433</v>
      </c>
      <c r="G692" s="4">
        <v>53</v>
      </c>
      <c r="H692" s="4">
        <v>0</v>
      </c>
      <c r="I692" s="4">
        <v>0</v>
      </c>
      <c r="J692" s="4"/>
      <c r="K692" s="4"/>
      <c r="L692" s="4"/>
      <c r="M692" s="4"/>
      <c r="N692" s="4"/>
      <c r="O692" s="4"/>
    </row>
    <row r="693" spans="1:15" x14ac:dyDescent="0.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</row>
    <row r="694" spans="1:15" x14ac:dyDescent="0.3">
      <c r="A694" s="4" t="s">
        <v>391</v>
      </c>
      <c r="B694" s="4" t="s">
        <v>49</v>
      </c>
      <c r="C694" s="4" t="s">
        <v>12</v>
      </c>
      <c r="D694" s="4">
        <v>13943604</v>
      </c>
      <c r="E694" s="4">
        <v>183</v>
      </c>
      <c r="F694" s="4" t="s">
        <v>1433</v>
      </c>
      <c r="G694" s="4">
        <v>183</v>
      </c>
      <c r="H694" s="4">
        <v>0</v>
      </c>
      <c r="I694" s="4">
        <v>0</v>
      </c>
      <c r="J694" s="4"/>
      <c r="K694" s="4"/>
      <c r="L694" s="4"/>
      <c r="M694" s="4"/>
      <c r="N694" s="4"/>
      <c r="O694" s="4"/>
    </row>
    <row r="695" spans="1:15" x14ac:dyDescent="0.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</row>
    <row r="696" spans="1:15" x14ac:dyDescent="0.3">
      <c r="A696" s="4" t="s">
        <v>392</v>
      </c>
      <c r="B696" s="4" t="s">
        <v>49</v>
      </c>
      <c r="C696" s="4" t="s">
        <v>12</v>
      </c>
      <c r="D696" s="4">
        <v>13950156</v>
      </c>
      <c r="E696" s="4">
        <v>162</v>
      </c>
      <c r="F696" s="4" t="s">
        <v>1433</v>
      </c>
      <c r="G696" s="4">
        <v>162</v>
      </c>
      <c r="H696" s="4">
        <v>0</v>
      </c>
      <c r="I696" s="4">
        <v>0</v>
      </c>
      <c r="J696" s="4"/>
      <c r="K696" s="4"/>
      <c r="L696" s="4"/>
      <c r="M696" s="4"/>
      <c r="N696" s="4"/>
      <c r="O696" s="4"/>
    </row>
    <row r="697" spans="1:15" x14ac:dyDescent="0.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</row>
    <row r="698" spans="1:15" x14ac:dyDescent="0.3">
      <c r="A698" s="4" t="s">
        <v>393</v>
      </c>
      <c r="B698" s="4" t="s">
        <v>49</v>
      </c>
      <c r="C698" s="4" t="s">
        <v>12</v>
      </c>
      <c r="D698" s="4">
        <v>13950846</v>
      </c>
      <c r="E698" s="4">
        <v>370</v>
      </c>
      <c r="F698" s="4" t="s">
        <v>1433</v>
      </c>
      <c r="G698" s="4">
        <v>370</v>
      </c>
      <c r="H698" s="4">
        <v>0</v>
      </c>
      <c r="I698" s="4">
        <v>0</v>
      </c>
      <c r="J698" s="4"/>
      <c r="K698" s="4"/>
      <c r="L698" s="4"/>
      <c r="M698" s="4"/>
      <c r="N698" s="4"/>
      <c r="O698" s="4"/>
    </row>
    <row r="699" spans="1:15" x14ac:dyDescent="0.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</row>
    <row r="700" spans="1:15" x14ac:dyDescent="0.3">
      <c r="A700" s="4" t="s">
        <v>394</v>
      </c>
      <c r="B700" s="4" t="s">
        <v>49</v>
      </c>
      <c r="C700" s="4" t="s">
        <v>12</v>
      </c>
      <c r="D700" s="4">
        <v>13951062</v>
      </c>
      <c r="E700" s="4">
        <v>177</v>
      </c>
      <c r="F700" s="4" t="s">
        <v>1433</v>
      </c>
      <c r="G700" s="4">
        <v>177</v>
      </c>
      <c r="H700" s="4">
        <v>0</v>
      </c>
      <c r="I700" s="4">
        <v>0</v>
      </c>
      <c r="J700" s="4"/>
      <c r="K700" s="4"/>
      <c r="L700" s="4"/>
      <c r="M700" s="4"/>
      <c r="N700" s="4"/>
      <c r="O700" s="4"/>
    </row>
    <row r="701" spans="1:15" x14ac:dyDescent="0.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</row>
    <row r="702" spans="1:15" x14ac:dyDescent="0.3">
      <c r="A702" s="4" t="s">
        <v>395</v>
      </c>
      <c r="B702" s="4" t="s">
        <v>49</v>
      </c>
      <c r="C702" s="4" t="s">
        <v>12</v>
      </c>
      <c r="D702" s="4">
        <v>13951068</v>
      </c>
      <c r="E702" s="4">
        <v>743</v>
      </c>
      <c r="F702" s="4" t="s">
        <v>1433</v>
      </c>
      <c r="G702" s="4">
        <v>743</v>
      </c>
      <c r="H702" s="4">
        <v>0</v>
      </c>
      <c r="I702" s="4">
        <v>0</v>
      </c>
      <c r="J702" s="4"/>
      <c r="K702" s="4"/>
      <c r="L702" s="4"/>
      <c r="M702" s="4"/>
      <c r="N702" s="4"/>
      <c r="O702" s="4"/>
    </row>
    <row r="703" spans="1:15" x14ac:dyDescent="0.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</row>
    <row r="704" spans="1:15" x14ac:dyDescent="0.3">
      <c r="A704" s="4" t="s">
        <v>396</v>
      </c>
      <c r="B704" s="4" t="s">
        <v>49</v>
      </c>
      <c r="C704" s="4" t="s">
        <v>12</v>
      </c>
      <c r="D704" s="4">
        <v>13952010</v>
      </c>
      <c r="E704" s="4">
        <v>224</v>
      </c>
      <c r="F704" s="4" t="s">
        <v>1433</v>
      </c>
      <c r="G704" s="4">
        <v>224</v>
      </c>
      <c r="H704" s="4">
        <v>0</v>
      </c>
      <c r="I704" s="4">
        <v>0</v>
      </c>
      <c r="J704" s="4"/>
      <c r="K704" s="4"/>
      <c r="L704" s="4"/>
      <c r="M704" s="4"/>
      <c r="N704" s="4"/>
      <c r="O704" s="4"/>
    </row>
    <row r="705" spans="1:15" x14ac:dyDescent="0.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</row>
    <row r="706" spans="1:15" x14ac:dyDescent="0.3">
      <c r="A706" s="4" t="s">
        <v>397</v>
      </c>
      <c r="B706" s="4" t="s">
        <v>49</v>
      </c>
      <c r="C706" s="4" t="s">
        <v>12</v>
      </c>
      <c r="D706" s="4">
        <v>13952790</v>
      </c>
      <c r="E706" s="4">
        <v>20</v>
      </c>
      <c r="F706" s="4" t="s">
        <v>1433</v>
      </c>
      <c r="G706" s="4">
        <v>20</v>
      </c>
      <c r="H706" s="4">
        <v>0</v>
      </c>
      <c r="I706" s="4">
        <v>0</v>
      </c>
      <c r="J706" s="4"/>
      <c r="K706" s="4"/>
      <c r="L706" s="4"/>
      <c r="M706" s="4"/>
      <c r="N706" s="4"/>
      <c r="O706" s="4"/>
    </row>
    <row r="707" spans="1:15" x14ac:dyDescent="0.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</row>
    <row r="708" spans="1:15" x14ac:dyDescent="0.3">
      <c r="A708" s="4" t="s">
        <v>398</v>
      </c>
      <c r="B708" s="4" t="s">
        <v>49</v>
      </c>
      <c r="C708" s="4" t="s">
        <v>12</v>
      </c>
      <c r="D708" s="4">
        <v>13959588</v>
      </c>
      <c r="E708" s="4">
        <v>16</v>
      </c>
      <c r="F708" s="4" t="s">
        <v>1433</v>
      </c>
      <c r="G708" s="4">
        <v>16</v>
      </c>
      <c r="H708" s="4">
        <v>0</v>
      </c>
      <c r="I708" s="4">
        <v>0</v>
      </c>
      <c r="J708" s="4"/>
      <c r="K708" s="4"/>
      <c r="L708" s="4"/>
      <c r="M708" s="4"/>
      <c r="N708" s="4"/>
      <c r="O708" s="4"/>
    </row>
    <row r="709" spans="1:15" x14ac:dyDescent="0.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</row>
    <row r="710" spans="1:15" x14ac:dyDescent="0.3">
      <c r="A710" s="4" t="s">
        <v>399</v>
      </c>
      <c r="B710" s="4" t="s">
        <v>49</v>
      </c>
      <c r="C710" s="4" t="s">
        <v>12</v>
      </c>
      <c r="D710" s="4">
        <v>13959852</v>
      </c>
      <c r="E710" s="4">
        <v>8</v>
      </c>
      <c r="F710" s="4" t="s">
        <v>1433</v>
      </c>
      <c r="G710" s="4">
        <v>8</v>
      </c>
      <c r="H710" s="4">
        <v>0</v>
      </c>
      <c r="I710" s="4">
        <v>0</v>
      </c>
      <c r="J710" s="4"/>
      <c r="K710" s="4"/>
      <c r="L710" s="4"/>
      <c r="M710" s="4"/>
      <c r="N710" s="4"/>
      <c r="O710" s="4"/>
    </row>
    <row r="711" spans="1:15" x14ac:dyDescent="0.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</row>
    <row r="712" spans="1:15" x14ac:dyDescent="0.3">
      <c r="A712" s="4" t="s">
        <v>400</v>
      </c>
      <c r="B712" s="4" t="s">
        <v>49</v>
      </c>
      <c r="C712" s="4" t="s">
        <v>12</v>
      </c>
      <c r="D712" s="4">
        <v>13960938</v>
      </c>
      <c r="E712" s="4">
        <v>20</v>
      </c>
      <c r="F712" s="4" t="s">
        <v>1433</v>
      </c>
      <c r="G712" s="4">
        <v>20</v>
      </c>
      <c r="H712" s="4">
        <v>0</v>
      </c>
      <c r="I712" s="4">
        <v>0</v>
      </c>
      <c r="J712" s="4"/>
      <c r="K712" s="4"/>
      <c r="L712" s="4"/>
      <c r="M712" s="4"/>
      <c r="N712" s="4"/>
      <c r="O712" s="4"/>
    </row>
    <row r="713" spans="1:15" x14ac:dyDescent="0.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</row>
    <row r="714" spans="1:15" x14ac:dyDescent="0.3">
      <c r="A714" s="4" t="s">
        <v>401</v>
      </c>
      <c r="B714" s="4" t="s">
        <v>49</v>
      </c>
      <c r="C714" s="4" t="s">
        <v>12</v>
      </c>
      <c r="D714" s="4">
        <v>13963620</v>
      </c>
      <c r="E714" s="4">
        <v>6</v>
      </c>
      <c r="F714" s="4" t="s">
        <v>1433</v>
      </c>
      <c r="G714" s="4">
        <v>6</v>
      </c>
      <c r="H714" s="4">
        <v>0</v>
      </c>
      <c r="I714" s="4">
        <v>0</v>
      </c>
      <c r="J714" s="4"/>
      <c r="K714" s="4"/>
      <c r="L714" s="4"/>
      <c r="M714" s="4"/>
      <c r="N714" s="4"/>
      <c r="O714" s="4"/>
    </row>
    <row r="715" spans="1:15" x14ac:dyDescent="0.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</row>
    <row r="716" spans="1:15" x14ac:dyDescent="0.3">
      <c r="A716" s="4" t="s">
        <v>402</v>
      </c>
      <c r="B716" s="4" t="s">
        <v>49</v>
      </c>
      <c r="C716" s="4" t="s">
        <v>12</v>
      </c>
      <c r="D716" s="4">
        <v>13963698</v>
      </c>
      <c r="E716" s="4">
        <v>107</v>
      </c>
      <c r="F716" s="4" t="s">
        <v>1433</v>
      </c>
      <c r="G716" s="4">
        <v>107</v>
      </c>
      <c r="H716" s="4">
        <v>0</v>
      </c>
      <c r="I716" s="4">
        <v>0</v>
      </c>
      <c r="J716" s="4"/>
      <c r="K716" s="4"/>
      <c r="L716" s="4"/>
      <c r="M716" s="4"/>
      <c r="N716" s="4"/>
      <c r="O716" s="4"/>
    </row>
    <row r="717" spans="1:15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</row>
    <row r="718" spans="1:15" x14ac:dyDescent="0.3">
      <c r="A718" s="4" t="s">
        <v>403</v>
      </c>
      <c r="B718" s="4" t="s">
        <v>49</v>
      </c>
      <c r="C718" s="4" t="s">
        <v>12</v>
      </c>
      <c r="D718" s="4">
        <v>13964244</v>
      </c>
      <c r="E718" s="4">
        <v>13</v>
      </c>
      <c r="F718" s="4" t="s">
        <v>1433</v>
      </c>
      <c r="G718" s="4">
        <v>13</v>
      </c>
      <c r="H718" s="4">
        <v>0</v>
      </c>
      <c r="I718" s="4">
        <v>0</v>
      </c>
      <c r="J718" s="4"/>
      <c r="K718" s="4"/>
      <c r="L718" s="4"/>
      <c r="M718" s="4"/>
      <c r="N718" s="4"/>
      <c r="O718" s="4"/>
    </row>
    <row r="719" spans="1:15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</row>
    <row r="720" spans="1:15" x14ac:dyDescent="0.3">
      <c r="A720" s="4" t="s">
        <v>404</v>
      </c>
      <c r="B720" s="4" t="s">
        <v>49</v>
      </c>
      <c r="C720" s="4" t="s">
        <v>12</v>
      </c>
      <c r="D720" s="4">
        <v>13966044</v>
      </c>
      <c r="E720" s="4">
        <v>29</v>
      </c>
      <c r="F720" s="4" t="s">
        <v>1433</v>
      </c>
      <c r="G720" s="4">
        <v>29</v>
      </c>
      <c r="H720" s="4">
        <v>0</v>
      </c>
      <c r="I720" s="4">
        <v>0</v>
      </c>
      <c r="J720" s="4"/>
      <c r="K720" s="4"/>
      <c r="L720" s="4"/>
      <c r="M720" s="4"/>
      <c r="N720" s="4"/>
      <c r="O720" s="4"/>
    </row>
    <row r="721" spans="1:15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</row>
    <row r="722" spans="1:15" x14ac:dyDescent="0.3">
      <c r="A722" s="4" t="s">
        <v>405</v>
      </c>
      <c r="B722" s="4" t="s">
        <v>49</v>
      </c>
      <c r="C722" s="4" t="s">
        <v>12</v>
      </c>
      <c r="D722" s="4">
        <v>13966200</v>
      </c>
      <c r="E722" s="4">
        <v>89</v>
      </c>
      <c r="F722" s="4" t="s">
        <v>1433</v>
      </c>
      <c r="G722" s="4">
        <v>89</v>
      </c>
      <c r="H722" s="4">
        <v>0</v>
      </c>
      <c r="I722" s="4">
        <v>0</v>
      </c>
      <c r="J722" s="4"/>
      <c r="K722" s="4"/>
      <c r="L722" s="4"/>
      <c r="M722" s="4"/>
      <c r="N722" s="4"/>
      <c r="O722" s="4"/>
    </row>
    <row r="723" spans="1:15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</row>
    <row r="724" spans="1:15" x14ac:dyDescent="0.3">
      <c r="A724" s="4" t="s">
        <v>406</v>
      </c>
      <c r="B724" s="4" t="s">
        <v>49</v>
      </c>
      <c r="C724" s="4" t="s">
        <v>12</v>
      </c>
      <c r="D724" s="4">
        <v>13966872</v>
      </c>
      <c r="E724" s="4">
        <v>131</v>
      </c>
      <c r="F724" s="4" t="s">
        <v>1433</v>
      </c>
      <c r="G724" s="4">
        <v>131</v>
      </c>
      <c r="H724" s="4">
        <v>0</v>
      </c>
      <c r="I724" s="4">
        <v>0</v>
      </c>
      <c r="J724" s="4"/>
      <c r="K724" s="4"/>
      <c r="L724" s="4"/>
      <c r="M724" s="4"/>
      <c r="N724" s="4"/>
      <c r="O724" s="4"/>
    </row>
    <row r="725" spans="1:15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</row>
    <row r="726" spans="1:15" x14ac:dyDescent="0.3">
      <c r="A726" s="4" t="s">
        <v>407</v>
      </c>
      <c r="B726" s="4" t="s">
        <v>49</v>
      </c>
      <c r="C726" s="4" t="s">
        <v>12</v>
      </c>
      <c r="D726" s="4">
        <v>13967292</v>
      </c>
      <c r="E726" s="4">
        <v>71</v>
      </c>
      <c r="F726" s="4" t="s">
        <v>1433</v>
      </c>
      <c r="G726" s="4">
        <v>71</v>
      </c>
      <c r="H726" s="4">
        <v>0</v>
      </c>
      <c r="I726" s="4">
        <v>0</v>
      </c>
      <c r="J726" s="4"/>
      <c r="K726" s="4"/>
      <c r="L726" s="4"/>
      <c r="M726" s="4"/>
      <c r="N726" s="4"/>
      <c r="O726" s="4"/>
    </row>
    <row r="727" spans="1:15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</row>
    <row r="728" spans="1:15" x14ac:dyDescent="0.3">
      <c r="A728" s="4" t="s">
        <v>408</v>
      </c>
      <c r="B728" s="4" t="s">
        <v>49</v>
      </c>
      <c r="C728" s="4" t="s">
        <v>12</v>
      </c>
      <c r="D728" s="4">
        <v>13967922</v>
      </c>
      <c r="E728" s="4">
        <v>22</v>
      </c>
      <c r="F728" s="4" t="s">
        <v>1433</v>
      </c>
      <c r="G728" s="4">
        <v>22</v>
      </c>
      <c r="H728" s="4">
        <v>0</v>
      </c>
      <c r="I728" s="4">
        <v>0</v>
      </c>
      <c r="J728" s="4"/>
      <c r="K728" s="4"/>
      <c r="L728" s="4"/>
      <c r="M728" s="4"/>
      <c r="N728" s="4"/>
      <c r="O728" s="4"/>
    </row>
    <row r="729" spans="1:15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</row>
    <row r="730" spans="1:15" x14ac:dyDescent="0.3">
      <c r="A730" s="4" t="s">
        <v>409</v>
      </c>
      <c r="B730" s="4" t="s">
        <v>49</v>
      </c>
      <c r="C730" s="4" t="s">
        <v>12</v>
      </c>
      <c r="D730" s="4">
        <v>13968024</v>
      </c>
      <c r="E730" s="4">
        <v>141</v>
      </c>
      <c r="F730" s="4" t="s">
        <v>1433</v>
      </c>
      <c r="G730" s="4">
        <v>141</v>
      </c>
      <c r="H730" s="4">
        <v>0</v>
      </c>
      <c r="I730" s="4">
        <v>0</v>
      </c>
      <c r="J730" s="4"/>
      <c r="K730" s="4"/>
      <c r="L730" s="4"/>
      <c r="M730" s="4"/>
      <c r="N730" s="4"/>
      <c r="O730" s="4"/>
    </row>
    <row r="731" spans="1:15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</row>
    <row r="732" spans="1:15" x14ac:dyDescent="0.3">
      <c r="A732" s="4" t="s">
        <v>410</v>
      </c>
      <c r="B732" s="4" t="s">
        <v>49</v>
      </c>
      <c r="C732" s="4" t="s">
        <v>12</v>
      </c>
      <c r="D732" s="4">
        <v>13968624</v>
      </c>
      <c r="E732" s="4">
        <v>142</v>
      </c>
      <c r="F732" s="4" t="s">
        <v>1433</v>
      </c>
      <c r="G732" s="4">
        <v>142</v>
      </c>
      <c r="H732" s="4">
        <v>0</v>
      </c>
      <c r="I732" s="4">
        <v>0</v>
      </c>
      <c r="J732" s="4"/>
      <c r="K732" s="4"/>
      <c r="L732" s="4"/>
      <c r="M732" s="4"/>
      <c r="N732" s="4"/>
      <c r="O732" s="4"/>
    </row>
    <row r="733" spans="1:15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</row>
    <row r="734" spans="1:15" x14ac:dyDescent="0.3">
      <c r="A734" s="4" t="s">
        <v>411</v>
      </c>
      <c r="B734" s="4" t="s">
        <v>49</v>
      </c>
      <c r="C734" s="4" t="s">
        <v>12</v>
      </c>
      <c r="D734" s="4">
        <v>13970904</v>
      </c>
      <c r="E734" s="4">
        <v>71</v>
      </c>
      <c r="F734" s="4" t="s">
        <v>1433</v>
      </c>
      <c r="G734" s="4">
        <v>71</v>
      </c>
      <c r="H734" s="4">
        <v>0</v>
      </c>
      <c r="I734" s="4">
        <v>0</v>
      </c>
      <c r="J734" s="4"/>
      <c r="K734" s="4"/>
      <c r="L734" s="4"/>
      <c r="M734" s="4"/>
      <c r="N734" s="4"/>
      <c r="O734" s="4"/>
    </row>
    <row r="735" spans="1:15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</row>
    <row r="736" spans="1:15" x14ac:dyDescent="0.3">
      <c r="A736" s="4" t="s">
        <v>412</v>
      </c>
      <c r="B736" s="4" t="s">
        <v>49</v>
      </c>
      <c r="C736" s="4" t="s">
        <v>12</v>
      </c>
      <c r="D736" s="4">
        <v>13973862</v>
      </c>
      <c r="E736" s="4">
        <v>120</v>
      </c>
      <c r="F736" s="4" t="s">
        <v>1433</v>
      </c>
      <c r="G736" s="4">
        <v>120</v>
      </c>
      <c r="H736" s="4">
        <v>0</v>
      </c>
      <c r="I736" s="4">
        <v>0</v>
      </c>
      <c r="J736" s="4"/>
      <c r="K736" s="4"/>
      <c r="L736" s="4"/>
      <c r="M736" s="4"/>
      <c r="N736" s="4"/>
      <c r="O736" s="4"/>
    </row>
    <row r="737" spans="1:15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</row>
    <row r="738" spans="1:15" x14ac:dyDescent="0.3">
      <c r="A738" s="4" t="s">
        <v>413</v>
      </c>
      <c r="B738" s="4" t="s">
        <v>49</v>
      </c>
      <c r="C738" s="4" t="s">
        <v>12</v>
      </c>
      <c r="D738" s="4">
        <v>13974492</v>
      </c>
      <c r="E738" s="4">
        <v>90</v>
      </c>
      <c r="F738" s="4" t="s">
        <v>1433</v>
      </c>
      <c r="G738" s="4">
        <v>90</v>
      </c>
      <c r="H738" s="4">
        <v>0</v>
      </c>
      <c r="I738" s="4">
        <v>0</v>
      </c>
      <c r="J738" s="4"/>
      <c r="K738" s="4"/>
      <c r="L738" s="4"/>
      <c r="M738" s="4"/>
      <c r="N738" s="4"/>
      <c r="O738" s="4"/>
    </row>
    <row r="739" spans="1:15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</row>
    <row r="740" spans="1:15" x14ac:dyDescent="0.3">
      <c r="A740" s="4" t="s">
        <v>414</v>
      </c>
      <c r="B740" s="4" t="s">
        <v>49</v>
      </c>
      <c r="C740" s="4" t="s">
        <v>12</v>
      </c>
      <c r="D740" s="4">
        <v>13987332</v>
      </c>
      <c r="E740" s="4">
        <v>610</v>
      </c>
      <c r="F740" s="4" t="s">
        <v>1433</v>
      </c>
      <c r="G740" s="4">
        <v>610</v>
      </c>
      <c r="H740" s="4">
        <v>0</v>
      </c>
      <c r="I740" s="4">
        <v>0</v>
      </c>
      <c r="J740" s="4"/>
      <c r="K740" s="4"/>
      <c r="L740" s="4"/>
      <c r="M740" s="4"/>
      <c r="N740" s="4"/>
      <c r="O740" s="4"/>
    </row>
    <row r="741" spans="1:15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</row>
    <row r="742" spans="1:15" x14ac:dyDescent="0.3">
      <c r="A742" s="4" t="s">
        <v>415</v>
      </c>
      <c r="B742" s="4" t="s">
        <v>49</v>
      </c>
      <c r="C742" s="4" t="s">
        <v>12</v>
      </c>
      <c r="D742" s="4">
        <v>13988346</v>
      </c>
      <c r="E742" s="4">
        <v>63</v>
      </c>
      <c r="F742" s="4" t="s">
        <v>1433</v>
      </c>
      <c r="G742" s="4">
        <v>63</v>
      </c>
      <c r="H742" s="4">
        <v>0</v>
      </c>
      <c r="I742" s="4">
        <v>0</v>
      </c>
      <c r="J742" s="4"/>
      <c r="K742" s="4"/>
      <c r="L742" s="4"/>
      <c r="M742" s="4"/>
      <c r="N742" s="4"/>
      <c r="O742" s="4"/>
    </row>
    <row r="743" spans="1:15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</row>
    <row r="744" spans="1:15" x14ac:dyDescent="0.3">
      <c r="A744" s="4" t="s">
        <v>416</v>
      </c>
      <c r="B744" s="4" t="s">
        <v>49</v>
      </c>
      <c r="C744" s="4" t="s">
        <v>12</v>
      </c>
      <c r="D744" s="4">
        <v>13988502</v>
      </c>
      <c r="E744" s="4">
        <v>75</v>
      </c>
      <c r="F744" s="4" t="s">
        <v>1433</v>
      </c>
      <c r="G744" s="4">
        <v>75</v>
      </c>
      <c r="H744" s="4">
        <v>0</v>
      </c>
      <c r="I744" s="4">
        <v>0</v>
      </c>
      <c r="J744" s="4"/>
      <c r="K744" s="4"/>
      <c r="L744" s="4"/>
      <c r="M744" s="4"/>
      <c r="N744" s="4"/>
      <c r="O744" s="4"/>
    </row>
    <row r="745" spans="1:15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</row>
    <row r="746" spans="1:15" x14ac:dyDescent="0.3">
      <c r="A746" s="4" t="s">
        <v>417</v>
      </c>
      <c r="B746" s="4" t="s">
        <v>49</v>
      </c>
      <c r="C746" s="4" t="s">
        <v>12</v>
      </c>
      <c r="D746" s="4">
        <v>13988610</v>
      </c>
      <c r="E746" s="4">
        <v>44</v>
      </c>
      <c r="F746" s="4" t="s">
        <v>1433</v>
      </c>
      <c r="G746" s="4">
        <v>44</v>
      </c>
      <c r="H746" s="4">
        <v>0</v>
      </c>
      <c r="I746" s="4">
        <v>0</v>
      </c>
      <c r="J746" s="4"/>
      <c r="K746" s="4"/>
      <c r="L746" s="4"/>
      <c r="M746" s="4"/>
      <c r="N746" s="4"/>
      <c r="O746" s="4"/>
    </row>
    <row r="747" spans="1:15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</row>
    <row r="748" spans="1:15" x14ac:dyDescent="0.3">
      <c r="A748" s="4" t="s">
        <v>418</v>
      </c>
      <c r="B748" s="4" t="s">
        <v>49</v>
      </c>
      <c r="C748" s="4" t="s">
        <v>12</v>
      </c>
      <c r="D748" s="4">
        <v>13989402</v>
      </c>
      <c r="E748" s="4">
        <v>7</v>
      </c>
      <c r="F748" s="4" t="s">
        <v>1433</v>
      </c>
      <c r="G748" s="4">
        <v>7</v>
      </c>
      <c r="H748" s="4">
        <v>0</v>
      </c>
      <c r="I748" s="4">
        <v>0</v>
      </c>
      <c r="J748" s="4"/>
      <c r="K748" s="4"/>
      <c r="L748" s="4"/>
      <c r="M748" s="4"/>
      <c r="N748" s="4"/>
      <c r="O748" s="4"/>
    </row>
    <row r="749" spans="1:15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</row>
    <row r="750" spans="1:15" x14ac:dyDescent="0.3">
      <c r="A750" s="4" t="s">
        <v>419</v>
      </c>
      <c r="B750" s="4" t="s">
        <v>49</v>
      </c>
      <c r="C750" s="4" t="s">
        <v>12</v>
      </c>
      <c r="D750" s="4">
        <v>13991574</v>
      </c>
      <c r="E750" s="4">
        <v>67</v>
      </c>
      <c r="F750" s="4" t="s">
        <v>1433</v>
      </c>
      <c r="G750" s="4">
        <v>67</v>
      </c>
      <c r="H750" s="4">
        <v>0</v>
      </c>
      <c r="I750" s="4">
        <v>0</v>
      </c>
      <c r="J750" s="4"/>
      <c r="K750" s="4"/>
      <c r="L750" s="4"/>
      <c r="M750" s="4"/>
      <c r="N750" s="4"/>
      <c r="O750" s="4"/>
    </row>
    <row r="751" spans="1:15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</row>
    <row r="752" spans="1:15" x14ac:dyDescent="0.3">
      <c r="A752" s="4" t="s">
        <v>420</v>
      </c>
      <c r="B752" s="4" t="s">
        <v>49</v>
      </c>
      <c r="C752" s="4" t="s">
        <v>12</v>
      </c>
      <c r="D752" s="4">
        <v>13992918</v>
      </c>
      <c r="E752" s="4">
        <v>165</v>
      </c>
      <c r="F752" s="4" t="s">
        <v>1433</v>
      </c>
      <c r="G752" s="4">
        <v>165</v>
      </c>
      <c r="H752" s="4">
        <v>0</v>
      </c>
      <c r="I752" s="4">
        <v>0</v>
      </c>
      <c r="J752" s="4"/>
      <c r="K752" s="4"/>
      <c r="L752" s="4"/>
      <c r="M752" s="4"/>
      <c r="N752" s="4"/>
      <c r="O752" s="4"/>
    </row>
    <row r="753" spans="1:15" x14ac:dyDescent="0.3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</row>
    <row r="754" spans="1:15" x14ac:dyDescent="0.3">
      <c r="A754" s="4" t="s">
        <v>421</v>
      </c>
      <c r="B754" s="4" t="s">
        <v>49</v>
      </c>
      <c r="C754" s="4" t="s">
        <v>12</v>
      </c>
      <c r="D754" s="4">
        <v>13995120</v>
      </c>
      <c r="E754" s="4">
        <v>16</v>
      </c>
      <c r="F754" s="4" t="s">
        <v>1433</v>
      </c>
      <c r="G754" s="4">
        <v>16</v>
      </c>
      <c r="H754" s="4">
        <v>0</v>
      </c>
      <c r="I754" s="4">
        <v>0</v>
      </c>
      <c r="J754" s="4"/>
      <c r="K754" s="4"/>
      <c r="L754" s="4"/>
      <c r="M754" s="4"/>
      <c r="N754" s="4"/>
      <c r="O754" s="4"/>
    </row>
    <row r="755" spans="1:15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</row>
    <row r="756" spans="1:15" x14ac:dyDescent="0.3">
      <c r="A756" s="4" t="s">
        <v>422</v>
      </c>
      <c r="B756" s="4" t="s">
        <v>49</v>
      </c>
      <c r="C756" s="4" t="s">
        <v>12</v>
      </c>
      <c r="D756" s="4">
        <v>13995294</v>
      </c>
      <c r="E756" s="4">
        <v>126</v>
      </c>
      <c r="F756" s="4" t="s">
        <v>1433</v>
      </c>
      <c r="G756" s="4">
        <v>126</v>
      </c>
      <c r="H756" s="4">
        <v>0</v>
      </c>
      <c r="I756" s="4">
        <v>0</v>
      </c>
      <c r="J756" s="4"/>
      <c r="K756" s="4"/>
      <c r="L756" s="4"/>
      <c r="M756" s="4"/>
      <c r="N756" s="4"/>
      <c r="O756" s="4"/>
    </row>
    <row r="757" spans="1:15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</row>
    <row r="758" spans="1:15" x14ac:dyDescent="0.3">
      <c r="A758" s="4" t="s">
        <v>423</v>
      </c>
      <c r="B758" s="4" t="s">
        <v>49</v>
      </c>
      <c r="C758" s="4" t="s">
        <v>12</v>
      </c>
      <c r="D758" s="4">
        <v>13995426</v>
      </c>
      <c r="E758" s="4">
        <v>66</v>
      </c>
      <c r="F758" s="4" t="s">
        <v>1433</v>
      </c>
      <c r="G758" s="4">
        <v>66</v>
      </c>
      <c r="H758" s="4">
        <v>0</v>
      </c>
      <c r="I758" s="4">
        <v>0</v>
      </c>
      <c r="J758" s="4"/>
      <c r="K758" s="4"/>
      <c r="L758" s="4"/>
      <c r="M758" s="4"/>
      <c r="N758" s="4"/>
      <c r="O758" s="4"/>
    </row>
    <row r="759" spans="1:15" x14ac:dyDescent="0.3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</row>
    <row r="760" spans="1:15" x14ac:dyDescent="0.3">
      <c r="A760" s="4" t="s">
        <v>424</v>
      </c>
      <c r="B760" s="4" t="s">
        <v>49</v>
      </c>
      <c r="C760" s="4" t="s">
        <v>12</v>
      </c>
      <c r="D760" s="4">
        <v>13995828</v>
      </c>
      <c r="E760" s="4">
        <v>297</v>
      </c>
      <c r="F760" s="4" t="s">
        <v>1433</v>
      </c>
      <c r="G760" s="4">
        <v>297</v>
      </c>
      <c r="H760" s="4">
        <v>0</v>
      </c>
      <c r="I760" s="4">
        <v>0</v>
      </c>
      <c r="J760" s="4"/>
      <c r="K760" s="4"/>
      <c r="L760" s="4"/>
      <c r="M760" s="4"/>
      <c r="N760" s="4"/>
      <c r="O760" s="4"/>
    </row>
    <row r="761" spans="1:15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</row>
    <row r="762" spans="1:15" x14ac:dyDescent="0.3">
      <c r="A762" s="4" t="s">
        <v>425</v>
      </c>
      <c r="B762" s="4" t="s">
        <v>49</v>
      </c>
      <c r="C762" s="4" t="s">
        <v>12</v>
      </c>
      <c r="D762" s="4">
        <v>13997592</v>
      </c>
      <c r="E762" s="4">
        <v>90</v>
      </c>
      <c r="F762" s="4" t="s">
        <v>1433</v>
      </c>
      <c r="G762" s="4">
        <v>90</v>
      </c>
      <c r="H762" s="4">
        <v>0</v>
      </c>
      <c r="I762" s="4">
        <v>0</v>
      </c>
      <c r="J762" s="4"/>
      <c r="K762" s="4"/>
      <c r="L762" s="4"/>
      <c r="M762" s="4"/>
      <c r="N762" s="4"/>
      <c r="O762" s="4"/>
    </row>
    <row r="763" spans="1:15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</row>
    <row r="764" spans="1:15" x14ac:dyDescent="0.3">
      <c r="A764" s="4" t="s">
        <v>426</v>
      </c>
      <c r="B764" s="4" t="s">
        <v>49</v>
      </c>
      <c r="C764" s="4" t="s">
        <v>12</v>
      </c>
      <c r="D764" s="4">
        <v>13997706</v>
      </c>
      <c r="E764" s="4">
        <v>46</v>
      </c>
      <c r="F764" s="4" t="s">
        <v>1433</v>
      </c>
      <c r="G764" s="4">
        <v>46</v>
      </c>
      <c r="H764" s="4">
        <v>0</v>
      </c>
      <c r="I764" s="4">
        <v>0</v>
      </c>
      <c r="J764" s="4"/>
      <c r="K764" s="4"/>
      <c r="L764" s="4"/>
      <c r="M764" s="4"/>
      <c r="N764" s="4"/>
      <c r="O764" s="4"/>
    </row>
    <row r="765" spans="1:15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</row>
    <row r="766" spans="1:15" x14ac:dyDescent="0.3">
      <c r="A766" s="4" t="s">
        <v>427</v>
      </c>
      <c r="B766" s="4" t="s">
        <v>49</v>
      </c>
      <c r="C766" s="4" t="s">
        <v>12</v>
      </c>
      <c r="D766" s="4">
        <v>13997862</v>
      </c>
      <c r="E766" s="4">
        <v>40</v>
      </c>
      <c r="F766" s="4" t="s">
        <v>1433</v>
      </c>
      <c r="G766" s="4">
        <v>40</v>
      </c>
      <c r="H766" s="4">
        <v>0</v>
      </c>
      <c r="I766" s="4">
        <v>0</v>
      </c>
      <c r="J766" s="4"/>
      <c r="K766" s="4"/>
      <c r="L766" s="4"/>
      <c r="M766" s="4"/>
      <c r="N766" s="4"/>
      <c r="O766" s="4"/>
    </row>
    <row r="767" spans="1:15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</row>
    <row r="768" spans="1:15" x14ac:dyDescent="0.3">
      <c r="A768" s="4" t="s">
        <v>428</v>
      </c>
      <c r="B768" s="4" t="s">
        <v>49</v>
      </c>
      <c r="C768" s="4" t="s">
        <v>12</v>
      </c>
      <c r="D768" s="4">
        <v>13998510</v>
      </c>
      <c r="E768" s="4">
        <v>10</v>
      </c>
      <c r="F768" s="4" t="s">
        <v>1433</v>
      </c>
      <c r="G768" s="4">
        <v>10</v>
      </c>
      <c r="H768" s="4">
        <v>0</v>
      </c>
      <c r="I768" s="4">
        <v>0</v>
      </c>
      <c r="J768" s="4"/>
      <c r="K768" s="4"/>
      <c r="L768" s="4"/>
      <c r="M768" s="4"/>
      <c r="N768" s="4"/>
      <c r="O768" s="4"/>
    </row>
    <row r="769" spans="1:15" x14ac:dyDescent="0.3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</row>
    <row r="770" spans="1:15" x14ac:dyDescent="0.3">
      <c r="A770" s="4" t="s">
        <v>429</v>
      </c>
      <c r="B770" s="4" t="s">
        <v>49</v>
      </c>
      <c r="C770" s="4" t="s">
        <v>12</v>
      </c>
      <c r="D770" s="4">
        <v>14002266</v>
      </c>
      <c r="E770" s="4">
        <v>87</v>
      </c>
      <c r="F770" s="4" t="s">
        <v>1433</v>
      </c>
      <c r="G770" s="4">
        <v>87</v>
      </c>
      <c r="H770" s="4">
        <v>0</v>
      </c>
      <c r="I770" s="4">
        <v>0</v>
      </c>
      <c r="J770" s="4"/>
      <c r="K770" s="4"/>
      <c r="L770" s="4"/>
      <c r="M770" s="4"/>
      <c r="N770" s="4"/>
      <c r="O770" s="4"/>
    </row>
    <row r="771" spans="1:15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</row>
    <row r="772" spans="1:15" x14ac:dyDescent="0.3">
      <c r="A772" s="4" t="s">
        <v>430</v>
      </c>
      <c r="B772" s="4" t="s">
        <v>49</v>
      </c>
      <c r="C772" s="4" t="s">
        <v>12</v>
      </c>
      <c r="D772" s="4">
        <v>14002740</v>
      </c>
      <c r="E772" s="4">
        <v>31</v>
      </c>
      <c r="F772" s="4" t="s">
        <v>1433</v>
      </c>
      <c r="G772" s="4">
        <v>31</v>
      </c>
      <c r="H772" s="4">
        <v>0</v>
      </c>
      <c r="I772" s="4">
        <v>0</v>
      </c>
      <c r="J772" s="4"/>
      <c r="K772" s="4"/>
      <c r="L772" s="4"/>
      <c r="M772" s="4"/>
      <c r="N772" s="4"/>
      <c r="O772" s="4"/>
    </row>
    <row r="773" spans="1:15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</row>
    <row r="774" spans="1:15" x14ac:dyDescent="0.3">
      <c r="A774" s="4" t="s">
        <v>431</v>
      </c>
      <c r="B774" s="4" t="s">
        <v>49</v>
      </c>
      <c r="C774" s="4" t="s">
        <v>12</v>
      </c>
      <c r="D774" s="4">
        <v>14004702</v>
      </c>
      <c r="E774" s="4">
        <v>56</v>
      </c>
      <c r="F774" s="4" t="s">
        <v>1433</v>
      </c>
      <c r="G774" s="4">
        <v>56</v>
      </c>
      <c r="H774" s="4">
        <v>0</v>
      </c>
      <c r="I774" s="4">
        <v>0</v>
      </c>
      <c r="J774" s="4"/>
      <c r="K774" s="4"/>
      <c r="L774" s="4"/>
      <c r="M774" s="4"/>
      <c r="N774" s="4"/>
      <c r="O774" s="4"/>
    </row>
    <row r="775" spans="1:15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</row>
    <row r="776" spans="1:15" x14ac:dyDescent="0.3">
      <c r="A776" s="4" t="s">
        <v>432</v>
      </c>
      <c r="B776" s="4" t="s">
        <v>49</v>
      </c>
      <c r="C776" s="4" t="s">
        <v>12</v>
      </c>
      <c r="D776" s="4">
        <v>14005860</v>
      </c>
      <c r="E776" s="4">
        <v>25</v>
      </c>
      <c r="F776" s="4" t="s">
        <v>1433</v>
      </c>
      <c r="G776" s="4">
        <v>25</v>
      </c>
      <c r="H776" s="4">
        <v>0</v>
      </c>
      <c r="I776" s="4">
        <v>0</v>
      </c>
      <c r="J776" s="4"/>
      <c r="K776" s="4"/>
      <c r="L776" s="4"/>
      <c r="M776" s="4"/>
      <c r="N776" s="4"/>
      <c r="O776" s="4"/>
    </row>
    <row r="777" spans="1:15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</row>
    <row r="778" spans="1:15" x14ac:dyDescent="0.3">
      <c r="A778" s="4" t="s">
        <v>433</v>
      </c>
      <c r="B778" s="4" t="s">
        <v>49</v>
      </c>
      <c r="C778" s="4" t="s">
        <v>12</v>
      </c>
      <c r="D778" s="4">
        <v>14007246</v>
      </c>
      <c r="E778" s="4">
        <v>12</v>
      </c>
      <c r="F778" s="4" t="s">
        <v>1433</v>
      </c>
      <c r="G778" s="4">
        <v>12</v>
      </c>
      <c r="H778" s="4">
        <v>0</v>
      </c>
      <c r="I778" s="4">
        <v>0</v>
      </c>
      <c r="J778" s="4"/>
      <c r="K778" s="4"/>
      <c r="L778" s="4"/>
      <c r="M778" s="4"/>
      <c r="N778" s="4"/>
      <c r="O778" s="4"/>
    </row>
    <row r="779" spans="1:15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</row>
    <row r="780" spans="1:15" x14ac:dyDescent="0.3">
      <c r="A780" s="4" t="s">
        <v>434</v>
      </c>
      <c r="B780" s="4" t="s">
        <v>49</v>
      </c>
      <c r="C780" s="4" t="s">
        <v>12</v>
      </c>
      <c r="D780" s="4">
        <v>14007336</v>
      </c>
      <c r="E780" s="4">
        <v>7</v>
      </c>
      <c r="F780" s="4" t="s">
        <v>1433</v>
      </c>
      <c r="G780" s="4">
        <v>7</v>
      </c>
      <c r="H780" s="4">
        <v>0</v>
      </c>
      <c r="I780" s="4">
        <v>0</v>
      </c>
      <c r="J780" s="4"/>
      <c r="K780" s="4"/>
      <c r="L780" s="4"/>
      <c r="M780" s="4"/>
      <c r="N780" s="4"/>
      <c r="O780" s="4"/>
    </row>
    <row r="781" spans="1:15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</row>
    <row r="782" spans="1:15" x14ac:dyDescent="0.3">
      <c r="A782" s="4" t="s">
        <v>435</v>
      </c>
      <c r="B782" s="4" t="s">
        <v>49</v>
      </c>
      <c r="C782" s="4" t="s">
        <v>12</v>
      </c>
      <c r="D782" s="4">
        <v>14007660</v>
      </c>
      <c r="E782" s="4">
        <v>895</v>
      </c>
      <c r="F782" s="4" t="s">
        <v>1433</v>
      </c>
      <c r="G782" s="4">
        <v>895</v>
      </c>
      <c r="H782" s="4">
        <v>0</v>
      </c>
      <c r="I782" s="4">
        <v>0</v>
      </c>
      <c r="J782" s="4"/>
      <c r="K782" s="4"/>
      <c r="L782" s="4"/>
      <c r="M782" s="4"/>
      <c r="N782" s="4"/>
      <c r="O782" s="4"/>
    </row>
    <row r="783" spans="1:15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</row>
    <row r="784" spans="1:15" x14ac:dyDescent="0.3">
      <c r="A784" s="4" t="s">
        <v>436</v>
      </c>
      <c r="B784" s="4" t="s">
        <v>49</v>
      </c>
      <c r="C784" s="4" t="s">
        <v>12</v>
      </c>
      <c r="D784" s="4">
        <v>14007702</v>
      </c>
      <c r="E784" s="4">
        <v>2103</v>
      </c>
      <c r="F784" s="4" t="s">
        <v>1433</v>
      </c>
      <c r="G784" s="4">
        <v>2103</v>
      </c>
      <c r="H784" s="4">
        <v>0</v>
      </c>
      <c r="I784" s="4">
        <v>0</v>
      </c>
      <c r="J784" s="4"/>
      <c r="K784" s="4"/>
      <c r="L784" s="4"/>
      <c r="M784" s="4"/>
      <c r="N784" s="4"/>
      <c r="O784" s="4"/>
    </row>
    <row r="785" spans="1:15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</row>
    <row r="786" spans="1:15" x14ac:dyDescent="0.3">
      <c r="A786" s="4" t="s">
        <v>437</v>
      </c>
      <c r="B786" s="4" t="s">
        <v>49</v>
      </c>
      <c r="C786" s="4" t="s">
        <v>12</v>
      </c>
      <c r="D786" s="4">
        <v>14010036</v>
      </c>
      <c r="E786" s="4">
        <v>165</v>
      </c>
      <c r="F786" s="4" t="s">
        <v>1433</v>
      </c>
      <c r="G786" s="4">
        <v>165</v>
      </c>
      <c r="H786" s="4">
        <v>0</v>
      </c>
      <c r="I786" s="4">
        <v>0</v>
      </c>
      <c r="J786" s="4"/>
      <c r="K786" s="4"/>
      <c r="L786" s="4"/>
      <c r="M786" s="4"/>
      <c r="N786" s="4"/>
      <c r="O786" s="4"/>
    </row>
    <row r="787" spans="1:15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</row>
    <row r="788" spans="1:15" x14ac:dyDescent="0.3">
      <c r="A788" s="4" t="s">
        <v>438</v>
      </c>
      <c r="B788" s="4" t="s">
        <v>49</v>
      </c>
      <c r="C788" s="4" t="s">
        <v>12</v>
      </c>
      <c r="D788" s="4">
        <v>14011152</v>
      </c>
      <c r="E788" s="4">
        <v>88</v>
      </c>
      <c r="F788" s="4" t="s">
        <v>1433</v>
      </c>
      <c r="G788" s="4">
        <v>88</v>
      </c>
      <c r="H788" s="4">
        <v>0</v>
      </c>
      <c r="I788" s="4">
        <v>0</v>
      </c>
      <c r="J788" s="4"/>
      <c r="K788" s="4"/>
      <c r="L788" s="4"/>
      <c r="M788" s="4"/>
      <c r="N788" s="4"/>
      <c r="O788" s="4"/>
    </row>
    <row r="789" spans="1:15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</row>
    <row r="790" spans="1:15" x14ac:dyDescent="0.3">
      <c r="A790" s="4" t="s">
        <v>439</v>
      </c>
      <c r="B790" s="4" t="s">
        <v>49</v>
      </c>
      <c r="C790" s="4" t="s">
        <v>12</v>
      </c>
      <c r="D790" s="4">
        <v>14011260</v>
      </c>
      <c r="E790" s="4">
        <v>15</v>
      </c>
      <c r="F790" s="4" t="s">
        <v>1433</v>
      </c>
      <c r="G790" s="4">
        <v>15</v>
      </c>
      <c r="H790" s="4">
        <v>0</v>
      </c>
      <c r="I790" s="4">
        <v>0</v>
      </c>
      <c r="J790" s="4"/>
      <c r="K790" s="4"/>
      <c r="L790" s="4"/>
      <c r="M790" s="4"/>
      <c r="N790" s="4"/>
      <c r="O790" s="4"/>
    </row>
    <row r="791" spans="1:15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</row>
    <row r="792" spans="1:15" x14ac:dyDescent="0.3">
      <c r="A792" s="4" t="s">
        <v>440</v>
      </c>
      <c r="B792" s="4" t="s">
        <v>49</v>
      </c>
      <c r="C792" s="4" t="s">
        <v>12</v>
      </c>
      <c r="D792" s="4">
        <v>14036118</v>
      </c>
      <c r="E792" s="4">
        <v>13</v>
      </c>
      <c r="F792" s="4" t="s">
        <v>1433</v>
      </c>
      <c r="G792" s="4">
        <v>13</v>
      </c>
      <c r="H792" s="4">
        <v>0</v>
      </c>
      <c r="I792" s="4">
        <v>0</v>
      </c>
      <c r="J792" s="4"/>
      <c r="K792" s="4"/>
      <c r="L792" s="4"/>
      <c r="M792" s="4"/>
      <c r="N792" s="4"/>
      <c r="O792" s="4"/>
    </row>
    <row r="793" spans="1:15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</row>
    <row r="794" spans="1:15" x14ac:dyDescent="0.3">
      <c r="A794" s="4" t="s">
        <v>441</v>
      </c>
      <c r="B794" s="4" t="s">
        <v>49</v>
      </c>
      <c r="C794" s="4" t="s">
        <v>12</v>
      </c>
      <c r="D794" s="4">
        <v>14075106</v>
      </c>
      <c r="E794" s="4">
        <v>98</v>
      </c>
      <c r="F794" s="4" t="s">
        <v>1433</v>
      </c>
      <c r="G794" s="4">
        <v>98</v>
      </c>
      <c r="H794" s="4">
        <v>0</v>
      </c>
      <c r="I794" s="4">
        <v>0</v>
      </c>
      <c r="J794" s="4"/>
      <c r="K794" s="4"/>
      <c r="L794" s="4"/>
      <c r="M794" s="4"/>
      <c r="N794" s="4"/>
      <c r="O794" s="4"/>
    </row>
    <row r="795" spans="1:15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</row>
    <row r="796" spans="1:15" x14ac:dyDescent="0.3">
      <c r="A796" s="4" t="s">
        <v>442</v>
      </c>
      <c r="B796" s="4" t="s">
        <v>49</v>
      </c>
      <c r="C796" s="4" t="s">
        <v>12</v>
      </c>
      <c r="D796" s="4">
        <v>14075274</v>
      </c>
      <c r="E796" s="4">
        <v>17</v>
      </c>
      <c r="F796" s="4" t="s">
        <v>1433</v>
      </c>
      <c r="G796" s="4">
        <v>17</v>
      </c>
      <c r="H796" s="4">
        <v>0</v>
      </c>
      <c r="I796" s="4">
        <v>0</v>
      </c>
      <c r="J796" s="4"/>
      <c r="K796" s="4"/>
      <c r="L796" s="4"/>
      <c r="M796" s="4"/>
      <c r="N796" s="4"/>
      <c r="O796" s="4"/>
    </row>
    <row r="797" spans="1:15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</row>
    <row r="798" spans="1:15" x14ac:dyDescent="0.3">
      <c r="A798" s="4" t="s">
        <v>443</v>
      </c>
      <c r="B798" s="4" t="s">
        <v>49</v>
      </c>
      <c r="C798" s="4" t="s">
        <v>12</v>
      </c>
      <c r="D798" s="4">
        <v>14075292</v>
      </c>
      <c r="E798" s="4">
        <v>10</v>
      </c>
      <c r="F798" s="4" t="s">
        <v>1433</v>
      </c>
      <c r="G798" s="4">
        <v>10</v>
      </c>
      <c r="H798" s="4">
        <v>0</v>
      </c>
      <c r="I798" s="4">
        <v>0</v>
      </c>
      <c r="J798" s="4"/>
      <c r="K798" s="4"/>
      <c r="L798" s="4"/>
      <c r="M798" s="4"/>
      <c r="N798" s="4"/>
      <c r="O798" s="4"/>
    </row>
    <row r="799" spans="1:15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</row>
    <row r="800" spans="1:15" x14ac:dyDescent="0.3">
      <c r="A800" s="4" t="s">
        <v>444</v>
      </c>
      <c r="B800" s="4" t="s">
        <v>49</v>
      </c>
      <c r="C800" s="4" t="s">
        <v>12</v>
      </c>
      <c r="D800" s="4">
        <v>14084958</v>
      </c>
      <c r="E800" s="4">
        <v>53</v>
      </c>
      <c r="F800" s="4" t="s">
        <v>1433</v>
      </c>
      <c r="G800" s="4">
        <v>53</v>
      </c>
      <c r="H800" s="4">
        <v>0</v>
      </c>
      <c r="I800" s="4">
        <v>0</v>
      </c>
      <c r="J800" s="4"/>
      <c r="K800" s="4"/>
      <c r="L800" s="4"/>
      <c r="M800" s="4"/>
      <c r="N800" s="4"/>
      <c r="O800" s="4"/>
    </row>
    <row r="801" spans="1:15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</row>
    <row r="802" spans="1:15" x14ac:dyDescent="0.3">
      <c r="A802" s="4" t="s">
        <v>445</v>
      </c>
      <c r="B802" s="4" t="s">
        <v>49</v>
      </c>
      <c r="C802" s="4" t="s">
        <v>12</v>
      </c>
      <c r="D802" s="4">
        <v>14085384</v>
      </c>
      <c r="E802" s="4">
        <v>60</v>
      </c>
      <c r="F802" s="4" t="s">
        <v>1433</v>
      </c>
      <c r="G802" s="4">
        <v>60</v>
      </c>
      <c r="H802" s="4">
        <v>0</v>
      </c>
      <c r="I802" s="4">
        <v>0</v>
      </c>
      <c r="J802" s="4"/>
      <c r="K802" s="4"/>
      <c r="L802" s="4"/>
      <c r="M802" s="4"/>
      <c r="N802" s="4"/>
      <c r="O802" s="4"/>
    </row>
    <row r="803" spans="1:15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</row>
    <row r="804" spans="1:15" x14ac:dyDescent="0.3">
      <c r="A804" s="4" t="s">
        <v>446</v>
      </c>
      <c r="B804" s="4" t="s">
        <v>49</v>
      </c>
      <c r="C804" s="4" t="s">
        <v>12</v>
      </c>
      <c r="D804" s="4">
        <v>14087958</v>
      </c>
      <c r="E804" s="4">
        <v>15</v>
      </c>
      <c r="F804" s="4" t="s">
        <v>1433</v>
      </c>
      <c r="G804" s="4">
        <v>15</v>
      </c>
      <c r="H804" s="4">
        <v>0</v>
      </c>
      <c r="I804" s="4">
        <v>0</v>
      </c>
      <c r="J804" s="4"/>
      <c r="K804" s="4"/>
      <c r="L804" s="4"/>
      <c r="M804" s="4"/>
      <c r="N804" s="4"/>
      <c r="O804" s="4"/>
    </row>
    <row r="805" spans="1:15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</row>
    <row r="806" spans="1:15" x14ac:dyDescent="0.3">
      <c r="A806" s="4" t="s">
        <v>447</v>
      </c>
      <c r="B806" s="4" t="s">
        <v>49</v>
      </c>
      <c r="C806" s="4" t="s">
        <v>12</v>
      </c>
      <c r="D806" s="4">
        <v>14088774</v>
      </c>
      <c r="E806" s="4">
        <v>21</v>
      </c>
      <c r="F806" s="4" t="s">
        <v>1433</v>
      </c>
      <c r="G806" s="4">
        <v>21</v>
      </c>
      <c r="H806" s="4">
        <v>0</v>
      </c>
      <c r="I806" s="4">
        <v>0</v>
      </c>
      <c r="J806" s="4"/>
      <c r="K806" s="4"/>
      <c r="L806" s="4"/>
      <c r="M806" s="4"/>
      <c r="N806" s="4"/>
      <c r="O806" s="4"/>
    </row>
    <row r="807" spans="1:15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</row>
    <row r="808" spans="1:15" x14ac:dyDescent="0.3">
      <c r="A808" s="4" t="s">
        <v>448</v>
      </c>
      <c r="B808" s="4" t="s">
        <v>49</v>
      </c>
      <c r="C808" s="4" t="s">
        <v>12</v>
      </c>
      <c r="D808" s="4">
        <v>14089122</v>
      </c>
      <c r="E808" s="4">
        <v>57</v>
      </c>
      <c r="F808" s="4" t="s">
        <v>1433</v>
      </c>
      <c r="G808" s="4">
        <v>57</v>
      </c>
      <c r="H808" s="4">
        <v>0</v>
      </c>
      <c r="I808" s="4">
        <v>0</v>
      </c>
      <c r="J808" s="4"/>
      <c r="K808" s="4"/>
      <c r="L808" s="4"/>
      <c r="M808" s="4"/>
      <c r="N808" s="4"/>
      <c r="O808" s="4"/>
    </row>
    <row r="809" spans="1:15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</row>
    <row r="810" spans="1:15" x14ac:dyDescent="0.3">
      <c r="A810" s="4" t="s">
        <v>449</v>
      </c>
      <c r="B810" s="4" t="s">
        <v>49</v>
      </c>
      <c r="C810" s="4" t="s">
        <v>12</v>
      </c>
      <c r="D810" s="4">
        <v>14089350</v>
      </c>
      <c r="E810" s="4">
        <v>0</v>
      </c>
      <c r="F810" s="4" t="s">
        <v>1433</v>
      </c>
      <c r="G810" s="4">
        <v>0</v>
      </c>
      <c r="H810" s="4">
        <v>0</v>
      </c>
      <c r="I810" s="4">
        <v>0</v>
      </c>
      <c r="J810" s="4"/>
      <c r="K810" s="4"/>
      <c r="L810" s="4"/>
      <c r="M810" s="4"/>
      <c r="N810" s="4"/>
      <c r="O810" s="4"/>
    </row>
    <row r="811" spans="1:15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</row>
    <row r="812" spans="1:15" x14ac:dyDescent="0.3">
      <c r="A812" s="4" t="s">
        <v>450</v>
      </c>
      <c r="B812" s="4" t="s">
        <v>49</v>
      </c>
      <c r="C812" s="4" t="s">
        <v>12</v>
      </c>
      <c r="D812" s="4">
        <v>14091792</v>
      </c>
      <c r="E812" s="4">
        <v>83</v>
      </c>
      <c r="F812" s="4" t="s">
        <v>1433</v>
      </c>
      <c r="G812" s="4">
        <v>83</v>
      </c>
      <c r="H812" s="4">
        <v>0</v>
      </c>
      <c r="I812" s="4">
        <v>0</v>
      </c>
      <c r="J812" s="4"/>
      <c r="K812" s="4"/>
      <c r="L812" s="4"/>
      <c r="M812" s="4"/>
      <c r="N812" s="4"/>
      <c r="O812" s="4"/>
    </row>
    <row r="813" spans="1:15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</row>
    <row r="814" spans="1:15" x14ac:dyDescent="0.3">
      <c r="A814" s="4" t="s">
        <v>451</v>
      </c>
      <c r="B814" s="4" t="s">
        <v>49</v>
      </c>
      <c r="C814" s="4" t="s">
        <v>12</v>
      </c>
      <c r="D814" s="4">
        <v>14092986</v>
      </c>
      <c r="E814" s="4">
        <v>17</v>
      </c>
      <c r="F814" s="4" t="s">
        <v>1433</v>
      </c>
      <c r="G814" s="4">
        <v>17</v>
      </c>
      <c r="H814" s="4">
        <v>0</v>
      </c>
      <c r="I814" s="4">
        <v>0</v>
      </c>
      <c r="J814" s="4"/>
      <c r="K814" s="4"/>
      <c r="L814" s="4"/>
      <c r="M814" s="4"/>
      <c r="N814" s="4"/>
      <c r="O814" s="4"/>
    </row>
    <row r="815" spans="1:15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</row>
    <row r="816" spans="1:15" x14ac:dyDescent="0.3">
      <c r="A816" s="4" t="s">
        <v>452</v>
      </c>
      <c r="B816" s="4" t="s">
        <v>49</v>
      </c>
      <c r="C816" s="4" t="s">
        <v>12</v>
      </c>
      <c r="D816" s="4">
        <v>14094000</v>
      </c>
      <c r="E816" s="4">
        <v>31</v>
      </c>
      <c r="F816" s="4" t="s">
        <v>1433</v>
      </c>
      <c r="G816" s="4">
        <v>31</v>
      </c>
      <c r="H816" s="4">
        <v>0</v>
      </c>
      <c r="I816" s="4">
        <v>0</v>
      </c>
      <c r="J816" s="4"/>
      <c r="K816" s="4"/>
      <c r="L816" s="4"/>
      <c r="M816" s="4"/>
      <c r="N816" s="4"/>
      <c r="O816" s="4"/>
    </row>
    <row r="817" spans="1:15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</row>
    <row r="818" spans="1:15" x14ac:dyDescent="0.3">
      <c r="A818" s="4" t="s">
        <v>453</v>
      </c>
      <c r="B818" s="4" t="s">
        <v>49</v>
      </c>
      <c r="C818" s="4" t="s">
        <v>12</v>
      </c>
      <c r="D818" s="4">
        <v>14095410</v>
      </c>
      <c r="E818" s="4">
        <v>12</v>
      </c>
      <c r="F818" s="4" t="s">
        <v>1433</v>
      </c>
      <c r="G818" s="4">
        <v>12</v>
      </c>
      <c r="H818" s="4">
        <v>0</v>
      </c>
      <c r="I818" s="4">
        <v>0</v>
      </c>
      <c r="J818" s="4"/>
      <c r="K818" s="4"/>
      <c r="L818" s="4"/>
      <c r="M818" s="4"/>
      <c r="N818" s="4"/>
      <c r="O818" s="4"/>
    </row>
    <row r="819" spans="1:15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</row>
    <row r="820" spans="1:15" x14ac:dyDescent="0.3">
      <c r="A820" s="4" t="s">
        <v>454</v>
      </c>
      <c r="B820" s="4" t="s">
        <v>49</v>
      </c>
      <c r="C820" s="4" t="s">
        <v>12</v>
      </c>
      <c r="D820" s="4">
        <v>14099166</v>
      </c>
      <c r="E820" s="4">
        <v>81</v>
      </c>
      <c r="F820" s="4" t="s">
        <v>1433</v>
      </c>
      <c r="G820" s="4">
        <v>81</v>
      </c>
      <c r="H820" s="4">
        <v>0</v>
      </c>
      <c r="I820" s="4">
        <v>0</v>
      </c>
      <c r="J820" s="4"/>
      <c r="K820" s="4"/>
      <c r="L820" s="4"/>
      <c r="M820" s="4"/>
      <c r="N820" s="4"/>
      <c r="O820" s="4"/>
    </row>
    <row r="821" spans="1:15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</row>
    <row r="822" spans="1:15" x14ac:dyDescent="0.3">
      <c r="A822" s="4" t="s">
        <v>455</v>
      </c>
      <c r="B822" s="4" t="s">
        <v>49</v>
      </c>
      <c r="C822" s="4" t="s">
        <v>12</v>
      </c>
      <c r="D822" s="4">
        <v>14099868</v>
      </c>
      <c r="E822" s="4">
        <v>21</v>
      </c>
      <c r="F822" s="4" t="s">
        <v>1433</v>
      </c>
      <c r="G822" s="4">
        <v>21</v>
      </c>
      <c r="H822" s="4">
        <v>0</v>
      </c>
      <c r="I822" s="4">
        <v>0</v>
      </c>
      <c r="J822" s="4"/>
      <c r="K822" s="4"/>
      <c r="L822" s="4"/>
      <c r="M822" s="4"/>
      <c r="N822" s="4"/>
      <c r="O822" s="4"/>
    </row>
    <row r="823" spans="1:15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</row>
    <row r="824" spans="1:15" x14ac:dyDescent="0.3">
      <c r="A824" s="4" t="s">
        <v>456</v>
      </c>
      <c r="B824" s="4" t="s">
        <v>49</v>
      </c>
      <c r="C824" s="4" t="s">
        <v>12</v>
      </c>
      <c r="D824" s="4">
        <v>14102244</v>
      </c>
      <c r="E824" s="4">
        <v>71</v>
      </c>
      <c r="F824" s="4" t="s">
        <v>1433</v>
      </c>
      <c r="G824" s="4">
        <v>71</v>
      </c>
      <c r="H824" s="4">
        <v>0</v>
      </c>
      <c r="I824" s="4">
        <v>0</v>
      </c>
      <c r="J824" s="4"/>
      <c r="K824" s="4"/>
      <c r="L824" s="4"/>
      <c r="M824" s="4"/>
      <c r="N824" s="4"/>
      <c r="O824" s="4"/>
    </row>
    <row r="825" spans="1:15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</row>
    <row r="826" spans="1:15" x14ac:dyDescent="0.3">
      <c r="A826" s="4" t="s">
        <v>457</v>
      </c>
      <c r="B826" s="4" t="s">
        <v>49</v>
      </c>
      <c r="C826" s="4" t="s">
        <v>12</v>
      </c>
      <c r="D826" s="4">
        <v>14102928</v>
      </c>
      <c r="E826" s="4">
        <v>39</v>
      </c>
      <c r="F826" s="4" t="s">
        <v>1433</v>
      </c>
      <c r="G826" s="4">
        <v>39</v>
      </c>
      <c r="H826" s="4">
        <v>0</v>
      </c>
      <c r="I826" s="4">
        <v>0</v>
      </c>
      <c r="J826" s="4"/>
      <c r="K826" s="4"/>
      <c r="L826" s="4"/>
      <c r="M826" s="4"/>
      <c r="N826" s="4"/>
      <c r="O826" s="4"/>
    </row>
    <row r="827" spans="1:15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</row>
    <row r="828" spans="1:15" x14ac:dyDescent="0.3">
      <c r="A828" s="4" t="s">
        <v>458</v>
      </c>
      <c r="B828" s="4" t="s">
        <v>49</v>
      </c>
      <c r="C828" s="4" t="s">
        <v>12</v>
      </c>
      <c r="D828" s="4">
        <v>14102958</v>
      </c>
      <c r="E828" s="4">
        <v>9</v>
      </c>
      <c r="F828" s="4" t="s">
        <v>1433</v>
      </c>
      <c r="G828" s="4">
        <v>9</v>
      </c>
      <c r="H828" s="4">
        <v>0</v>
      </c>
      <c r="I828" s="4">
        <v>0</v>
      </c>
      <c r="J828" s="4"/>
      <c r="K828" s="4"/>
      <c r="L828" s="4"/>
      <c r="M828" s="4"/>
      <c r="N828" s="4"/>
      <c r="O828" s="4"/>
    </row>
    <row r="829" spans="1:15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</row>
    <row r="830" spans="1:15" x14ac:dyDescent="0.3">
      <c r="A830" s="4" t="s">
        <v>459</v>
      </c>
      <c r="B830" s="4" t="s">
        <v>49</v>
      </c>
      <c r="C830" s="4" t="s">
        <v>12</v>
      </c>
      <c r="D830" s="4">
        <v>14103408</v>
      </c>
      <c r="E830" s="4">
        <v>359</v>
      </c>
      <c r="F830" s="4" t="s">
        <v>1433</v>
      </c>
      <c r="G830" s="4">
        <v>359</v>
      </c>
      <c r="H830" s="4">
        <v>0</v>
      </c>
      <c r="I830" s="4">
        <v>0</v>
      </c>
      <c r="J830" s="4"/>
      <c r="K830" s="4"/>
      <c r="L830" s="4"/>
      <c r="M830" s="4"/>
      <c r="N830" s="4"/>
      <c r="O830" s="4"/>
    </row>
    <row r="831" spans="1:15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</row>
    <row r="832" spans="1:15" x14ac:dyDescent="0.3">
      <c r="A832" s="4" t="s">
        <v>460</v>
      </c>
      <c r="B832" s="4" t="s">
        <v>49</v>
      </c>
      <c r="C832" s="4" t="s">
        <v>12</v>
      </c>
      <c r="D832" s="4">
        <v>14103450</v>
      </c>
      <c r="E832" s="4">
        <v>347</v>
      </c>
      <c r="F832" s="4" t="s">
        <v>1433</v>
      </c>
      <c r="G832" s="4">
        <v>347</v>
      </c>
      <c r="H832" s="4">
        <v>0</v>
      </c>
      <c r="I832" s="4">
        <v>0</v>
      </c>
      <c r="J832" s="4"/>
      <c r="K832" s="4"/>
      <c r="L832" s="4"/>
      <c r="M832" s="4"/>
      <c r="N832" s="4"/>
      <c r="O832" s="4"/>
    </row>
    <row r="833" spans="1:15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</row>
    <row r="834" spans="1:15" x14ac:dyDescent="0.3">
      <c r="A834" s="4" t="s">
        <v>461</v>
      </c>
      <c r="B834" s="4" t="s">
        <v>49</v>
      </c>
      <c r="C834" s="4" t="s">
        <v>12</v>
      </c>
      <c r="D834" s="4">
        <v>14103516</v>
      </c>
      <c r="E834" s="4">
        <v>477</v>
      </c>
      <c r="F834" s="4" t="s">
        <v>1433</v>
      </c>
      <c r="G834" s="4">
        <v>477</v>
      </c>
      <c r="H834" s="4">
        <v>0</v>
      </c>
      <c r="I834" s="4">
        <v>0</v>
      </c>
      <c r="J834" s="4"/>
      <c r="K834" s="4"/>
      <c r="L834" s="4"/>
      <c r="M834" s="4"/>
      <c r="N834" s="4"/>
      <c r="O834" s="4"/>
    </row>
    <row r="835" spans="1:15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</row>
    <row r="836" spans="1:15" x14ac:dyDescent="0.3">
      <c r="A836" s="4" t="s">
        <v>462</v>
      </c>
      <c r="B836" s="4" t="s">
        <v>49</v>
      </c>
      <c r="C836" s="4" t="s">
        <v>12</v>
      </c>
      <c r="D836" s="4">
        <v>14103546</v>
      </c>
      <c r="E836" s="4">
        <v>480</v>
      </c>
      <c r="F836" s="4" t="s">
        <v>1433</v>
      </c>
      <c r="G836" s="4">
        <v>480</v>
      </c>
      <c r="H836" s="4">
        <v>0</v>
      </c>
      <c r="I836" s="4">
        <v>0</v>
      </c>
      <c r="J836" s="4"/>
      <c r="K836" s="4"/>
      <c r="L836" s="4"/>
      <c r="M836" s="4"/>
      <c r="N836" s="4"/>
      <c r="O836" s="4"/>
    </row>
    <row r="837" spans="1:15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</row>
    <row r="838" spans="1:15" x14ac:dyDescent="0.3">
      <c r="A838" s="4" t="s">
        <v>463</v>
      </c>
      <c r="B838" s="4" t="s">
        <v>49</v>
      </c>
      <c r="C838" s="4" t="s">
        <v>12</v>
      </c>
      <c r="D838" s="4">
        <v>14103564</v>
      </c>
      <c r="E838" s="4">
        <v>359</v>
      </c>
      <c r="F838" s="4" t="s">
        <v>1433</v>
      </c>
      <c r="G838" s="4">
        <v>359</v>
      </c>
      <c r="H838" s="4">
        <v>0</v>
      </c>
      <c r="I838" s="4">
        <v>0</v>
      </c>
      <c r="J838" s="4"/>
      <c r="K838" s="4"/>
      <c r="L838" s="4"/>
      <c r="M838" s="4"/>
      <c r="N838" s="4"/>
      <c r="O838" s="4"/>
    </row>
    <row r="839" spans="1:15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</row>
    <row r="840" spans="1:15" x14ac:dyDescent="0.3">
      <c r="A840" s="4" t="s">
        <v>464</v>
      </c>
      <c r="B840" s="4" t="s">
        <v>49</v>
      </c>
      <c r="C840" s="4" t="s">
        <v>12</v>
      </c>
      <c r="D840" s="4">
        <v>14104716</v>
      </c>
      <c r="E840" s="4">
        <v>44</v>
      </c>
      <c r="F840" s="4" t="s">
        <v>1433</v>
      </c>
      <c r="G840" s="4">
        <v>44</v>
      </c>
      <c r="H840" s="4">
        <v>0</v>
      </c>
      <c r="I840" s="4">
        <v>0</v>
      </c>
      <c r="J840" s="4"/>
      <c r="K840" s="4"/>
      <c r="L840" s="4"/>
      <c r="M840" s="4"/>
      <c r="N840" s="4"/>
      <c r="O840" s="4"/>
    </row>
    <row r="841" spans="1:15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</row>
    <row r="842" spans="1:15" x14ac:dyDescent="0.3">
      <c r="A842" s="4" t="s">
        <v>465</v>
      </c>
      <c r="B842" s="4" t="s">
        <v>49</v>
      </c>
      <c r="C842" s="4" t="s">
        <v>12</v>
      </c>
      <c r="D842" s="4">
        <v>14104896</v>
      </c>
      <c r="E842" s="4">
        <v>201</v>
      </c>
      <c r="F842" s="4" t="s">
        <v>1433</v>
      </c>
      <c r="G842" s="4">
        <v>201</v>
      </c>
      <c r="H842" s="4">
        <v>0</v>
      </c>
      <c r="I842" s="4">
        <v>0</v>
      </c>
      <c r="J842" s="4"/>
      <c r="K842" s="4"/>
      <c r="L842" s="4"/>
      <c r="M842" s="4"/>
      <c r="N842" s="4"/>
      <c r="O842" s="4"/>
    </row>
    <row r="843" spans="1:15" x14ac:dyDescent="0.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</row>
    <row r="844" spans="1:15" x14ac:dyDescent="0.3">
      <c r="A844" s="4" t="s">
        <v>466</v>
      </c>
      <c r="B844" s="4" t="s">
        <v>49</v>
      </c>
      <c r="C844" s="4" t="s">
        <v>12</v>
      </c>
      <c r="D844" s="4">
        <v>14105580</v>
      </c>
      <c r="E844" s="4">
        <v>31</v>
      </c>
      <c r="F844" s="4" t="s">
        <v>1433</v>
      </c>
      <c r="G844" s="4">
        <v>31</v>
      </c>
      <c r="H844" s="4">
        <v>0</v>
      </c>
      <c r="I844" s="4">
        <v>0</v>
      </c>
      <c r="J844" s="4"/>
      <c r="K844" s="4"/>
      <c r="L844" s="4"/>
      <c r="M844" s="4"/>
      <c r="N844" s="4"/>
      <c r="O844" s="4"/>
    </row>
    <row r="845" spans="1:15" x14ac:dyDescent="0.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</row>
    <row r="846" spans="1:15" x14ac:dyDescent="0.3">
      <c r="A846" s="4" t="s">
        <v>467</v>
      </c>
      <c r="B846" s="4" t="s">
        <v>49</v>
      </c>
      <c r="C846" s="4" t="s">
        <v>12</v>
      </c>
      <c r="D846" s="4">
        <v>14112318</v>
      </c>
      <c r="E846" s="4">
        <v>14</v>
      </c>
      <c r="F846" s="4" t="s">
        <v>1433</v>
      </c>
      <c r="G846" s="4">
        <v>14</v>
      </c>
      <c r="H846" s="4">
        <v>0</v>
      </c>
      <c r="I846" s="4">
        <v>0</v>
      </c>
      <c r="J846" s="4"/>
      <c r="K846" s="4"/>
      <c r="L846" s="4"/>
      <c r="M846" s="4"/>
      <c r="N846" s="4"/>
      <c r="O846" s="4"/>
    </row>
    <row r="847" spans="1:15" x14ac:dyDescent="0.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</row>
    <row r="848" spans="1:15" x14ac:dyDescent="0.3">
      <c r="A848" s="4" t="s">
        <v>468</v>
      </c>
      <c r="B848" s="4" t="s">
        <v>49</v>
      </c>
      <c r="C848" s="4" t="s">
        <v>12</v>
      </c>
      <c r="D848" s="4">
        <v>14115996</v>
      </c>
      <c r="E848" s="4">
        <v>18</v>
      </c>
      <c r="F848" s="4" t="s">
        <v>1433</v>
      </c>
      <c r="G848" s="4">
        <v>18</v>
      </c>
      <c r="H848" s="4">
        <v>0</v>
      </c>
      <c r="I848" s="4">
        <v>0</v>
      </c>
      <c r="J848" s="4"/>
      <c r="K848" s="4"/>
      <c r="L848" s="4"/>
      <c r="M848" s="4"/>
      <c r="N848" s="4"/>
      <c r="O848" s="4"/>
    </row>
    <row r="849" spans="1:15" x14ac:dyDescent="0.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</row>
    <row r="850" spans="1:15" x14ac:dyDescent="0.3">
      <c r="A850" s="4" t="s">
        <v>469</v>
      </c>
      <c r="B850" s="4" t="s">
        <v>49</v>
      </c>
      <c r="C850" s="4" t="s">
        <v>12</v>
      </c>
      <c r="D850" s="4">
        <v>14119086</v>
      </c>
      <c r="E850" s="4">
        <v>459</v>
      </c>
      <c r="F850" s="4" t="s">
        <v>1433</v>
      </c>
      <c r="G850" s="4">
        <v>459</v>
      </c>
      <c r="H850" s="4">
        <v>0</v>
      </c>
      <c r="I850" s="4">
        <v>0</v>
      </c>
      <c r="J850" s="4"/>
      <c r="K850" s="4"/>
      <c r="L850" s="4"/>
      <c r="M850" s="4"/>
      <c r="N850" s="4"/>
      <c r="O850" s="4"/>
    </row>
    <row r="851" spans="1:15" x14ac:dyDescent="0.3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</row>
    <row r="852" spans="1:15" x14ac:dyDescent="0.3">
      <c r="A852" s="4" t="s">
        <v>470</v>
      </c>
      <c r="B852" s="4" t="s">
        <v>49</v>
      </c>
      <c r="C852" s="4" t="s">
        <v>12</v>
      </c>
      <c r="D852" s="4">
        <v>14119452</v>
      </c>
      <c r="E852" s="4">
        <v>31</v>
      </c>
      <c r="F852" s="4" t="s">
        <v>1433</v>
      </c>
      <c r="G852" s="4">
        <v>31</v>
      </c>
      <c r="H852" s="4">
        <v>0</v>
      </c>
      <c r="I852" s="4">
        <v>0</v>
      </c>
      <c r="J852" s="4"/>
      <c r="K852" s="4"/>
      <c r="L852" s="4"/>
      <c r="M852" s="4"/>
      <c r="N852" s="4"/>
      <c r="O852" s="4"/>
    </row>
    <row r="853" spans="1:15" x14ac:dyDescent="0.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</row>
    <row r="854" spans="1:15" x14ac:dyDescent="0.3">
      <c r="A854" s="4" t="s">
        <v>471</v>
      </c>
      <c r="B854" s="4" t="s">
        <v>49</v>
      </c>
      <c r="C854" s="4" t="s">
        <v>12</v>
      </c>
      <c r="D854" s="4">
        <v>14119458</v>
      </c>
      <c r="E854" s="4">
        <v>17</v>
      </c>
      <c r="F854" s="4" t="s">
        <v>1433</v>
      </c>
      <c r="G854" s="4">
        <v>17</v>
      </c>
      <c r="H854" s="4">
        <v>0</v>
      </c>
      <c r="I854" s="4">
        <v>0</v>
      </c>
      <c r="J854" s="4"/>
      <c r="K854" s="4"/>
      <c r="L854" s="4"/>
      <c r="M854" s="4"/>
      <c r="N854" s="4"/>
      <c r="O854" s="4"/>
    </row>
    <row r="855" spans="1:15" x14ac:dyDescent="0.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</row>
    <row r="856" spans="1:15" x14ac:dyDescent="0.3">
      <c r="A856" s="4" t="s">
        <v>472</v>
      </c>
      <c r="B856" s="4" t="s">
        <v>49</v>
      </c>
      <c r="C856" s="4" t="s">
        <v>12</v>
      </c>
      <c r="D856" s="4">
        <v>14119644</v>
      </c>
      <c r="E856" s="4">
        <v>20</v>
      </c>
      <c r="F856" s="4" t="s">
        <v>1433</v>
      </c>
      <c r="G856" s="4">
        <v>20</v>
      </c>
      <c r="H856" s="4">
        <v>0</v>
      </c>
      <c r="I856" s="4">
        <v>0</v>
      </c>
      <c r="J856" s="4"/>
      <c r="K856" s="4"/>
      <c r="L856" s="4"/>
      <c r="M856" s="4"/>
      <c r="N856" s="4"/>
      <c r="O856" s="4"/>
    </row>
    <row r="857" spans="1:15" x14ac:dyDescent="0.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</row>
    <row r="858" spans="1:15" x14ac:dyDescent="0.3">
      <c r="A858" s="4" t="s">
        <v>473</v>
      </c>
      <c r="B858" s="4" t="s">
        <v>49</v>
      </c>
      <c r="C858" s="4" t="s">
        <v>12</v>
      </c>
      <c r="D858" s="4">
        <v>14120112</v>
      </c>
      <c r="E858" s="4">
        <v>80</v>
      </c>
      <c r="F858" s="4" t="s">
        <v>1433</v>
      </c>
      <c r="G858" s="4">
        <v>80</v>
      </c>
      <c r="H858" s="4">
        <v>0</v>
      </c>
      <c r="I858" s="4">
        <v>0</v>
      </c>
      <c r="J858" s="4"/>
      <c r="K858" s="4"/>
      <c r="L858" s="4"/>
      <c r="M858" s="4"/>
      <c r="N858" s="4"/>
      <c r="O858" s="4"/>
    </row>
    <row r="859" spans="1:15" x14ac:dyDescent="0.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</row>
    <row r="860" spans="1:15" x14ac:dyDescent="0.3">
      <c r="A860" s="4" t="s">
        <v>474</v>
      </c>
      <c r="B860" s="4" t="s">
        <v>49</v>
      </c>
      <c r="C860" s="4" t="s">
        <v>12</v>
      </c>
      <c r="D860" s="4">
        <v>14122494</v>
      </c>
      <c r="E860" s="4">
        <v>25</v>
      </c>
      <c r="F860" s="4" t="s">
        <v>1433</v>
      </c>
      <c r="G860" s="4">
        <v>25</v>
      </c>
      <c r="H860" s="4">
        <v>0</v>
      </c>
      <c r="I860" s="4">
        <v>0</v>
      </c>
      <c r="J860" s="4"/>
      <c r="K860" s="4"/>
      <c r="L860" s="4"/>
      <c r="M860" s="4"/>
      <c r="N860" s="4"/>
      <c r="O860" s="4"/>
    </row>
    <row r="861" spans="1:15" x14ac:dyDescent="0.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</row>
    <row r="862" spans="1:15" x14ac:dyDescent="0.3">
      <c r="A862" s="4" t="s">
        <v>475</v>
      </c>
      <c r="B862" s="4" t="s">
        <v>49</v>
      </c>
      <c r="C862" s="4" t="s">
        <v>12</v>
      </c>
      <c r="D862" s="4">
        <v>14122878</v>
      </c>
      <c r="E862" s="4">
        <v>22</v>
      </c>
      <c r="F862" s="4" t="s">
        <v>1433</v>
      </c>
      <c r="G862" s="4">
        <v>22</v>
      </c>
      <c r="H862" s="4">
        <v>0</v>
      </c>
      <c r="I862" s="4">
        <v>0</v>
      </c>
      <c r="J862" s="4"/>
      <c r="K862" s="4"/>
      <c r="L862" s="4"/>
      <c r="M862" s="4"/>
      <c r="N862" s="4"/>
      <c r="O862" s="4"/>
    </row>
    <row r="863" spans="1:15" x14ac:dyDescent="0.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</row>
    <row r="864" spans="1:15" x14ac:dyDescent="0.3">
      <c r="A864" s="4" t="s">
        <v>476</v>
      </c>
      <c r="B864" s="4" t="s">
        <v>49</v>
      </c>
      <c r="C864" s="4" t="s">
        <v>12</v>
      </c>
      <c r="D864" s="4">
        <v>14123172</v>
      </c>
      <c r="E864" s="4">
        <v>14</v>
      </c>
      <c r="F864" s="4" t="s">
        <v>1433</v>
      </c>
      <c r="G864" s="4">
        <v>14</v>
      </c>
      <c r="H864" s="4">
        <v>0</v>
      </c>
      <c r="I864" s="4">
        <v>0</v>
      </c>
      <c r="J864" s="4"/>
      <c r="K864" s="4"/>
      <c r="L864" s="4"/>
      <c r="M864" s="4"/>
      <c r="N864" s="4"/>
      <c r="O864" s="4"/>
    </row>
    <row r="865" spans="1:15" x14ac:dyDescent="0.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</row>
    <row r="866" spans="1:15" x14ac:dyDescent="0.3">
      <c r="A866" s="4" t="s">
        <v>477</v>
      </c>
      <c r="B866" s="4" t="s">
        <v>49</v>
      </c>
      <c r="C866" s="4" t="s">
        <v>12</v>
      </c>
      <c r="D866" s="4">
        <v>14123280</v>
      </c>
      <c r="E866" s="4">
        <v>26</v>
      </c>
      <c r="F866" s="4" t="s">
        <v>1433</v>
      </c>
      <c r="G866" s="4">
        <v>26</v>
      </c>
      <c r="H866" s="4">
        <v>0</v>
      </c>
      <c r="I866" s="4">
        <v>0</v>
      </c>
      <c r="J866" s="4"/>
      <c r="K866" s="4"/>
      <c r="L866" s="4"/>
      <c r="M866" s="4"/>
      <c r="N866" s="4"/>
      <c r="O866" s="4"/>
    </row>
    <row r="867" spans="1:15" x14ac:dyDescent="0.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</row>
    <row r="868" spans="1:15" x14ac:dyDescent="0.3">
      <c r="A868" s="4" t="s">
        <v>478</v>
      </c>
      <c r="B868" s="4" t="s">
        <v>49</v>
      </c>
      <c r="C868" s="4" t="s">
        <v>12</v>
      </c>
      <c r="D868" s="4">
        <v>14123370</v>
      </c>
      <c r="E868" s="4">
        <v>7</v>
      </c>
      <c r="F868" s="4" t="s">
        <v>1433</v>
      </c>
      <c r="G868" s="4">
        <v>7</v>
      </c>
      <c r="H868" s="4">
        <v>0</v>
      </c>
      <c r="I868" s="4">
        <v>0</v>
      </c>
      <c r="J868" s="4"/>
      <c r="K868" s="4"/>
      <c r="L868" s="4"/>
      <c r="M868" s="4"/>
      <c r="N868" s="4"/>
      <c r="O868" s="4"/>
    </row>
    <row r="869" spans="1:15" x14ac:dyDescent="0.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</row>
    <row r="870" spans="1:15" x14ac:dyDescent="0.3">
      <c r="A870" s="4" t="s">
        <v>479</v>
      </c>
      <c r="B870" s="4" t="s">
        <v>49</v>
      </c>
      <c r="C870" s="4" t="s">
        <v>12</v>
      </c>
      <c r="D870" s="4">
        <v>14123442</v>
      </c>
      <c r="E870" s="4">
        <v>10</v>
      </c>
      <c r="F870" s="4" t="s">
        <v>1433</v>
      </c>
      <c r="G870" s="4">
        <v>10</v>
      </c>
      <c r="H870" s="4">
        <v>0</v>
      </c>
      <c r="I870" s="4">
        <v>0</v>
      </c>
      <c r="J870" s="4"/>
      <c r="K870" s="4"/>
      <c r="L870" s="4"/>
      <c r="M870" s="4"/>
      <c r="N870" s="4"/>
      <c r="O870" s="4"/>
    </row>
    <row r="871" spans="1:15" x14ac:dyDescent="0.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</row>
    <row r="872" spans="1:15" x14ac:dyDescent="0.3">
      <c r="A872" s="4" t="s">
        <v>480</v>
      </c>
      <c r="B872" s="4" t="s">
        <v>49</v>
      </c>
      <c r="C872" s="4" t="s">
        <v>12</v>
      </c>
      <c r="D872" s="4">
        <v>14126814</v>
      </c>
      <c r="E872" s="4">
        <v>37</v>
      </c>
      <c r="F872" s="4" t="s">
        <v>1433</v>
      </c>
      <c r="G872" s="4">
        <v>37</v>
      </c>
      <c r="H872" s="4">
        <v>0</v>
      </c>
      <c r="I872" s="4">
        <v>0</v>
      </c>
      <c r="J872" s="4"/>
      <c r="K872" s="4"/>
      <c r="L872" s="4"/>
      <c r="M872" s="4"/>
      <c r="N872" s="4"/>
      <c r="O872" s="4"/>
    </row>
    <row r="873" spans="1:15" x14ac:dyDescent="0.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</row>
    <row r="874" spans="1:15" x14ac:dyDescent="0.3">
      <c r="A874" s="4" t="s">
        <v>481</v>
      </c>
      <c r="B874" s="4" t="s">
        <v>49</v>
      </c>
      <c r="C874" s="4" t="s">
        <v>12</v>
      </c>
      <c r="D874" s="4">
        <v>14128470</v>
      </c>
      <c r="E874" s="4">
        <v>25</v>
      </c>
      <c r="F874" s="4" t="s">
        <v>1433</v>
      </c>
      <c r="G874" s="4">
        <v>25</v>
      </c>
      <c r="H874" s="4">
        <v>0</v>
      </c>
      <c r="I874" s="4">
        <v>0</v>
      </c>
      <c r="J874" s="4"/>
      <c r="K874" s="4"/>
      <c r="L874" s="4"/>
      <c r="M874" s="4"/>
      <c r="N874" s="4"/>
      <c r="O874" s="4"/>
    </row>
    <row r="875" spans="1:15" x14ac:dyDescent="0.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</row>
    <row r="876" spans="1:15" x14ac:dyDescent="0.3">
      <c r="A876" s="4" t="s">
        <v>482</v>
      </c>
      <c r="B876" s="4" t="s">
        <v>49</v>
      </c>
      <c r="C876" s="4" t="s">
        <v>12</v>
      </c>
      <c r="D876" s="4">
        <v>14133036</v>
      </c>
      <c r="E876" s="4">
        <v>27</v>
      </c>
      <c r="F876" s="4" t="s">
        <v>1433</v>
      </c>
      <c r="G876" s="4">
        <v>27</v>
      </c>
      <c r="H876" s="4">
        <v>0</v>
      </c>
      <c r="I876" s="4">
        <v>0</v>
      </c>
      <c r="J876" s="4"/>
      <c r="K876" s="4"/>
      <c r="L876" s="4"/>
      <c r="M876" s="4"/>
      <c r="N876" s="4"/>
      <c r="O876" s="4"/>
    </row>
    <row r="877" spans="1:15" x14ac:dyDescent="0.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</row>
    <row r="878" spans="1:15" x14ac:dyDescent="0.3">
      <c r="A878" s="4" t="s">
        <v>483</v>
      </c>
      <c r="B878" s="4" t="s">
        <v>49</v>
      </c>
      <c r="C878" s="4" t="s">
        <v>12</v>
      </c>
      <c r="D878" s="4">
        <v>14137536</v>
      </c>
      <c r="E878" s="4">
        <v>10</v>
      </c>
      <c r="F878" s="4" t="s">
        <v>1433</v>
      </c>
      <c r="G878" s="4">
        <v>10</v>
      </c>
      <c r="H878" s="4">
        <v>0</v>
      </c>
      <c r="I878" s="4">
        <v>0</v>
      </c>
      <c r="J878" s="4"/>
      <c r="K878" s="4"/>
      <c r="L878" s="4"/>
      <c r="M878" s="4"/>
      <c r="N878" s="4"/>
      <c r="O878" s="4"/>
    </row>
    <row r="879" spans="1:15" x14ac:dyDescent="0.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</row>
    <row r="880" spans="1:15" x14ac:dyDescent="0.3">
      <c r="A880" s="4" t="s">
        <v>484</v>
      </c>
      <c r="B880" s="4" t="s">
        <v>49</v>
      </c>
      <c r="C880" s="4" t="s">
        <v>12</v>
      </c>
      <c r="D880" s="4">
        <v>14139552</v>
      </c>
      <c r="E880" s="4">
        <v>146</v>
      </c>
      <c r="F880" s="4" t="s">
        <v>1433</v>
      </c>
      <c r="G880" s="4">
        <v>146</v>
      </c>
      <c r="H880" s="4">
        <v>0</v>
      </c>
      <c r="I880" s="4">
        <v>0</v>
      </c>
      <c r="J880" s="4"/>
      <c r="K880" s="4"/>
      <c r="L880" s="4"/>
      <c r="M880" s="4"/>
      <c r="N880" s="4"/>
      <c r="O880" s="4"/>
    </row>
    <row r="881" spans="1:15" x14ac:dyDescent="0.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</row>
    <row r="882" spans="1:15" x14ac:dyDescent="0.3">
      <c r="A882" s="4" t="s">
        <v>485</v>
      </c>
      <c r="B882" s="4" t="s">
        <v>49</v>
      </c>
      <c r="C882" s="4" t="s">
        <v>12</v>
      </c>
      <c r="D882" s="4">
        <v>14142156</v>
      </c>
      <c r="E882" s="4">
        <v>17</v>
      </c>
      <c r="F882" s="4" t="s">
        <v>1433</v>
      </c>
      <c r="G882" s="4">
        <v>17</v>
      </c>
      <c r="H882" s="4">
        <v>0</v>
      </c>
      <c r="I882" s="4">
        <v>0</v>
      </c>
      <c r="J882" s="4"/>
      <c r="K882" s="4"/>
      <c r="L882" s="4"/>
      <c r="M882" s="4"/>
      <c r="N882" s="4"/>
      <c r="O882" s="4"/>
    </row>
    <row r="883" spans="1:15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</row>
    <row r="884" spans="1:15" x14ac:dyDescent="0.3">
      <c r="A884" s="4" t="s">
        <v>486</v>
      </c>
      <c r="B884" s="4" t="s">
        <v>49</v>
      </c>
      <c r="C884" s="4" t="s">
        <v>12</v>
      </c>
      <c r="D884" s="4">
        <v>14145366</v>
      </c>
      <c r="E884" s="4">
        <v>29</v>
      </c>
      <c r="F884" s="4" t="s">
        <v>1433</v>
      </c>
      <c r="G884" s="4">
        <v>29</v>
      </c>
      <c r="H884" s="4">
        <v>0</v>
      </c>
      <c r="I884" s="4">
        <v>0</v>
      </c>
      <c r="J884" s="4"/>
      <c r="K884" s="4"/>
      <c r="L884" s="4"/>
      <c r="M884" s="4"/>
      <c r="N884" s="4"/>
      <c r="O884" s="4"/>
    </row>
    <row r="885" spans="1:15" x14ac:dyDescent="0.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</row>
    <row r="886" spans="1:15" x14ac:dyDescent="0.3">
      <c r="A886" s="4" t="s">
        <v>487</v>
      </c>
      <c r="B886" s="4" t="s">
        <v>49</v>
      </c>
      <c r="C886" s="4" t="s">
        <v>12</v>
      </c>
      <c r="D886" s="4">
        <v>14153814</v>
      </c>
      <c r="E886" s="4">
        <v>61</v>
      </c>
      <c r="F886" s="4" t="s">
        <v>1433</v>
      </c>
      <c r="G886" s="4">
        <v>61</v>
      </c>
      <c r="H886" s="4">
        <v>0</v>
      </c>
      <c r="I886" s="4">
        <v>0</v>
      </c>
      <c r="J886" s="4"/>
      <c r="K886" s="4"/>
      <c r="L886" s="4"/>
      <c r="M886" s="4"/>
      <c r="N886" s="4"/>
      <c r="O886" s="4"/>
    </row>
    <row r="887" spans="1:15" x14ac:dyDescent="0.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</row>
    <row r="888" spans="1:15" x14ac:dyDescent="0.3">
      <c r="A888" s="4" t="s">
        <v>488</v>
      </c>
      <c r="B888" s="4" t="s">
        <v>49</v>
      </c>
      <c r="C888" s="4" t="s">
        <v>12</v>
      </c>
      <c r="D888" s="4">
        <v>14154702</v>
      </c>
      <c r="E888" s="4">
        <v>27</v>
      </c>
      <c r="F888" s="4" t="s">
        <v>1433</v>
      </c>
      <c r="G888" s="4">
        <v>27</v>
      </c>
      <c r="H888" s="4">
        <v>0</v>
      </c>
      <c r="I888" s="4">
        <v>0</v>
      </c>
      <c r="J888" s="4"/>
      <c r="K888" s="4"/>
      <c r="L888" s="4"/>
      <c r="M888" s="4"/>
      <c r="N888" s="4"/>
      <c r="O888" s="4"/>
    </row>
    <row r="889" spans="1:15" x14ac:dyDescent="0.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</row>
    <row r="890" spans="1:15" x14ac:dyDescent="0.3">
      <c r="A890" s="4" t="s">
        <v>489</v>
      </c>
      <c r="B890" s="4" t="s">
        <v>49</v>
      </c>
      <c r="C890" s="4" t="s">
        <v>12</v>
      </c>
      <c r="D890" s="4">
        <v>14157912</v>
      </c>
      <c r="E890" s="4">
        <v>0</v>
      </c>
      <c r="F890" s="4" t="s">
        <v>1433</v>
      </c>
      <c r="G890" s="4">
        <v>0</v>
      </c>
      <c r="H890" s="4">
        <v>0</v>
      </c>
      <c r="I890" s="4">
        <v>0</v>
      </c>
      <c r="J890" s="4"/>
      <c r="K890" s="4"/>
      <c r="L890" s="4"/>
      <c r="M890" s="4"/>
      <c r="N890" s="4"/>
      <c r="O890" s="4"/>
    </row>
    <row r="891" spans="1:15" x14ac:dyDescent="0.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</row>
    <row r="892" spans="1:15" x14ac:dyDescent="0.3">
      <c r="A892" s="4" t="s">
        <v>490</v>
      </c>
      <c r="B892" s="4" t="s">
        <v>49</v>
      </c>
      <c r="C892" s="4" t="s">
        <v>12</v>
      </c>
      <c r="D892" s="4">
        <v>14161500</v>
      </c>
      <c r="E892" s="4">
        <v>335</v>
      </c>
      <c r="F892" s="4" t="s">
        <v>1433</v>
      </c>
      <c r="G892" s="4">
        <v>335</v>
      </c>
      <c r="H892" s="4">
        <v>0</v>
      </c>
      <c r="I892" s="4">
        <v>0</v>
      </c>
      <c r="J892" s="4"/>
      <c r="K892" s="4"/>
      <c r="L892" s="4"/>
      <c r="M892" s="4"/>
      <c r="N892" s="4"/>
      <c r="O892" s="4"/>
    </row>
    <row r="893" spans="1:15" x14ac:dyDescent="0.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</row>
    <row r="894" spans="1:15" x14ac:dyDescent="0.3">
      <c r="A894" s="4" t="s">
        <v>491</v>
      </c>
      <c r="B894" s="4" t="s">
        <v>49</v>
      </c>
      <c r="C894" s="4" t="s">
        <v>12</v>
      </c>
      <c r="D894" s="4">
        <v>14161740</v>
      </c>
      <c r="E894" s="4">
        <v>20</v>
      </c>
      <c r="F894" s="4" t="s">
        <v>1433</v>
      </c>
      <c r="G894" s="4">
        <v>20</v>
      </c>
      <c r="H894" s="4">
        <v>0</v>
      </c>
      <c r="I894" s="4">
        <v>0</v>
      </c>
      <c r="J894" s="4"/>
      <c r="K894" s="4"/>
      <c r="L894" s="4"/>
      <c r="M894" s="4"/>
      <c r="N894" s="4"/>
      <c r="O894" s="4"/>
    </row>
    <row r="895" spans="1:15" x14ac:dyDescent="0.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</row>
    <row r="896" spans="1:15" x14ac:dyDescent="0.3">
      <c r="A896" s="4" t="s">
        <v>492</v>
      </c>
      <c r="B896" s="4" t="s">
        <v>49</v>
      </c>
      <c r="C896" s="4" t="s">
        <v>12</v>
      </c>
      <c r="D896" s="4">
        <v>14167200</v>
      </c>
      <c r="E896" s="4">
        <v>68</v>
      </c>
      <c r="F896" s="4" t="s">
        <v>1433</v>
      </c>
      <c r="G896" s="4">
        <v>68</v>
      </c>
      <c r="H896" s="4">
        <v>0</v>
      </c>
      <c r="I896" s="4">
        <v>0</v>
      </c>
      <c r="J896" s="4"/>
      <c r="K896" s="4"/>
      <c r="L896" s="4"/>
      <c r="M896" s="4"/>
      <c r="N896" s="4"/>
      <c r="O896" s="4"/>
    </row>
    <row r="897" spans="1:15" x14ac:dyDescent="0.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</row>
    <row r="898" spans="1:15" x14ac:dyDescent="0.3">
      <c r="A898" s="4" t="s">
        <v>493</v>
      </c>
      <c r="B898" s="4" t="s">
        <v>49</v>
      </c>
      <c r="C898" s="4" t="s">
        <v>12</v>
      </c>
      <c r="D898" s="4">
        <v>14167260</v>
      </c>
      <c r="E898" s="4">
        <v>4</v>
      </c>
      <c r="F898" s="4" t="s">
        <v>1433</v>
      </c>
      <c r="G898" s="4">
        <v>4</v>
      </c>
      <c r="H898" s="4">
        <v>0</v>
      </c>
      <c r="I898" s="4">
        <v>0</v>
      </c>
      <c r="J898" s="4"/>
      <c r="K898" s="4"/>
      <c r="L898" s="4"/>
      <c r="M898" s="4"/>
      <c r="N898" s="4"/>
      <c r="O898" s="4"/>
    </row>
    <row r="899" spans="1:15" x14ac:dyDescent="0.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</row>
    <row r="900" spans="1:15" x14ac:dyDescent="0.3">
      <c r="A900" s="4" t="s">
        <v>494</v>
      </c>
      <c r="B900" s="4" t="s">
        <v>49</v>
      </c>
      <c r="C900" s="4" t="s">
        <v>12</v>
      </c>
      <c r="D900" s="4">
        <v>14168616</v>
      </c>
      <c r="E900" s="4">
        <v>10</v>
      </c>
      <c r="F900" s="4" t="s">
        <v>1433</v>
      </c>
      <c r="G900" s="4">
        <v>10</v>
      </c>
      <c r="H900" s="4">
        <v>0</v>
      </c>
      <c r="I900" s="4">
        <v>0</v>
      </c>
      <c r="J900" s="4"/>
      <c r="K900" s="4"/>
      <c r="L900" s="4"/>
      <c r="M900" s="4"/>
      <c r="N900" s="4"/>
      <c r="O900" s="4"/>
    </row>
    <row r="901" spans="1:15" x14ac:dyDescent="0.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</row>
    <row r="902" spans="1:15" x14ac:dyDescent="0.3">
      <c r="A902" s="4" t="s">
        <v>495</v>
      </c>
      <c r="B902" s="4" t="s">
        <v>49</v>
      </c>
      <c r="C902" s="4" t="s">
        <v>12</v>
      </c>
      <c r="D902" s="4">
        <v>14169174</v>
      </c>
      <c r="E902" s="4">
        <v>54</v>
      </c>
      <c r="F902" s="4" t="s">
        <v>1433</v>
      </c>
      <c r="G902" s="4">
        <v>54</v>
      </c>
      <c r="H902" s="4">
        <v>0</v>
      </c>
      <c r="I902" s="4">
        <v>0</v>
      </c>
      <c r="J902" s="4"/>
      <c r="K902" s="4"/>
      <c r="L902" s="4"/>
      <c r="M902" s="4"/>
      <c r="N902" s="4"/>
      <c r="O902" s="4"/>
    </row>
    <row r="903" spans="1:15" x14ac:dyDescent="0.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</row>
    <row r="904" spans="1:15" x14ac:dyDescent="0.3">
      <c r="A904" s="4" t="s">
        <v>496</v>
      </c>
      <c r="B904" s="4" t="s">
        <v>49</v>
      </c>
      <c r="C904" s="4" t="s">
        <v>12</v>
      </c>
      <c r="D904" s="4">
        <v>14169330</v>
      </c>
      <c r="E904" s="4">
        <v>15</v>
      </c>
      <c r="F904" s="4" t="s">
        <v>1433</v>
      </c>
      <c r="G904" s="4">
        <v>15</v>
      </c>
      <c r="H904" s="4">
        <v>0</v>
      </c>
      <c r="I904" s="4">
        <v>0</v>
      </c>
      <c r="J904" s="4"/>
      <c r="K904" s="4"/>
      <c r="L904" s="4"/>
      <c r="M904" s="4"/>
      <c r="N904" s="4"/>
      <c r="O904" s="4"/>
    </row>
    <row r="905" spans="1:15" x14ac:dyDescent="0.3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</row>
    <row r="906" spans="1:15" x14ac:dyDescent="0.3">
      <c r="A906" s="4" t="s">
        <v>497</v>
      </c>
      <c r="B906" s="4" t="s">
        <v>49</v>
      </c>
      <c r="C906" s="4" t="s">
        <v>12</v>
      </c>
      <c r="D906" s="4">
        <v>14170140</v>
      </c>
      <c r="E906" s="4">
        <v>16</v>
      </c>
      <c r="F906" s="4" t="s">
        <v>1433</v>
      </c>
      <c r="G906" s="4">
        <v>16</v>
      </c>
      <c r="H906" s="4">
        <v>0</v>
      </c>
      <c r="I906" s="4">
        <v>0</v>
      </c>
      <c r="J906" s="4"/>
      <c r="K906" s="4"/>
      <c r="L906" s="4"/>
      <c r="M906" s="4"/>
      <c r="N906" s="4"/>
      <c r="O906" s="4"/>
    </row>
    <row r="907" spans="1:15" x14ac:dyDescent="0.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</row>
    <row r="908" spans="1:15" x14ac:dyDescent="0.3">
      <c r="A908" s="4" t="s">
        <v>498</v>
      </c>
      <c r="B908" s="4" t="s">
        <v>49</v>
      </c>
      <c r="C908" s="4" t="s">
        <v>12</v>
      </c>
      <c r="D908" s="4">
        <v>14170260</v>
      </c>
      <c r="E908" s="4">
        <v>22</v>
      </c>
      <c r="F908" s="4" t="s">
        <v>1433</v>
      </c>
      <c r="G908" s="4">
        <v>22</v>
      </c>
      <c r="H908" s="4">
        <v>0</v>
      </c>
      <c r="I908" s="4">
        <v>0</v>
      </c>
      <c r="J908" s="4"/>
      <c r="K908" s="4"/>
      <c r="L908" s="4"/>
      <c r="M908" s="4"/>
      <c r="N908" s="4"/>
      <c r="O908" s="4"/>
    </row>
    <row r="909" spans="1:15" x14ac:dyDescent="0.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</row>
    <row r="910" spans="1:15" x14ac:dyDescent="0.3">
      <c r="A910" s="4" t="s">
        <v>499</v>
      </c>
      <c r="B910" s="4" t="s">
        <v>49</v>
      </c>
      <c r="C910" s="4" t="s">
        <v>12</v>
      </c>
      <c r="D910" s="4">
        <v>14171190</v>
      </c>
      <c r="E910" s="4">
        <v>65</v>
      </c>
      <c r="F910" s="4" t="s">
        <v>1433</v>
      </c>
      <c r="G910" s="4">
        <v>65</v>
      </c>
      <c r="H910" s="4">
        <v>0</v>
      </c>
      <c r="I910" s="4">
        <v>0</v>
      </c>
      <c r="J910" s="4"/>
      <c r="K910" s="4"/>
      <c r="L910" s="4"/>
      <c r="M910" s="4"/>
      <c r="N910" s="4"/>
      <c r="O910" s="4"/>
    </row>
    <row r="911" spans="1:15" x14ac:dyDescent="0.3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</row>
    <row r="912" spans="1:15" x14ac:dyDescent="0.3">
      <c r="A912" s="4" t="s">
        <v>500</v>
      </c>
      <c r="B912" s="4" t="s">
        <v>49</v>
      </c>
      <c r="C912" s="4" t="s">
        <v>12</v>
      </c>
      <c r="D912" s="4">
        <v>14172012</v>
      </c>
      <c r="E912" s="4">
        <v>21</v>
      </c>
      <c r="F912" s="4" t="s">
        <v>1433</v>
      </c>
      <c r="G912" s="4">
        <v>21</v>
      </c>
      <c r="H912" s="4">
        <v>0</v>
      </c>
      <c r="I912" s="4">
        <v>0</v>
      </c>
      <c r="J912" s="4"/>
      <c r="K912" s="4"/>
      <c r="L912" s="4"/>
      <c r="M912" s="4"/>
      <c r="N912" s="4"/>
      <c r="O912" s="4"/>
    </row>
    <row r="913" spans="1:15" x14ac:dyDescent="0.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</row>
    <row r="914" spans="1:15" x14ac:dyDescent="0.3">
      <c r="A914" s="4" t="s">
        <v>501</v>
      </c>
      <c r="B914" s="4" t="s">
        <v>49</v>
      </c>
      <c r="C914" s="4" t="s">
        <v>12</v>
      </c>
      <c r="D914" s="4">
        <v>14173404</v>
      </c>
      <c r="E914" s="4">
        <v>9</v>
      </c>
      <c r="F914" s="4" t="s">
        <v>1433</v>
      </c>
      <c r="G914" s="4">
        <v>9</v>
      </c>
      <c r="H914" s="4">
        <v>0</v>
      </c>
      <c r="I914" s="4">
        <v>0</v>
      </c>
      <c r="J914" s="4"/>
      <c r="K914" s="4"/>
      <c r="L914" s="4"/>
      <c r="M914" s="4"/>
      <c r="N914" s="4"/>
      <c r="O914" s="4"/>
    </row>
    <row r="915" spans="1:15" x14ac:dyDescent="0.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</row>
    <row r="916" spans="1:15" x14ac:dyDescent="0.3">
      <c r="A916" s="4" t="s">
        <v>502</v>
      </c>
      <c r="B916" s="4" t="s">
        <v>49</v>
      </c>
      <c r="C916" s="4" t="s">
        <v>12</v>
      </c>
      <c r="D916" s="4">
        <v>14173572</v>
      </c>
      <c r="E916" s="4">
        <v>28</v>
      </c>
      <c r="F916" s="4" t="s">
        <v>1433</v>
      </c>
      <c r="G916" s="4">
        <v>28</v>
      </c>
      <c r="H916" s="4">
        <v>0</v>
      </c>
      <c r="I916" s="4">
        <v>0</v>
      </c>
      <c r="J916" s="4"/>
      <c r="K916" s="4"/>
      <c r="L916" s="4"/>
      <c r="M916" s="4"/>
      <c r="N916" s="4"/>
      <c r="O916" s="4"/>
    </row>
    <row r="917" spans="1:15" x14ac:dyDescent="0.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</row>
    <row r="918" spans="1:15" x14ac:dyDescent="0.3">
      <c r="A918" s="4" t="s">
        <v>503</v>
      </c>
      <c r="B918" s="4" t="s">
        <v>49</v>
      </c>
      <c r="C918" s="4" t="s">
        <v>12</v>
      </c>
      <c r="D918" s="4">
        <v>14174172</v>
      </c>
      <c r="E918" s="4">
        <v>8</v>
      </c>
      <c r="F918" s="4" t="s">
        <v>1433</v>
      </c>
      <c r="G918" s="4">
        <v>8</v>
      </c>
      <c r="H918" s="4">
        <v>0</v>
      </c>
      <c r="I918" s="4">
        <v>0</v>
      </c>
      <c r="J918" s="4"/>
      <c r="K918" s="4"/>
      <c r="L918" s="4"/>
      <c r="M918" s="4"/>
      <c r="N918" s="4"/>
      <c r="O918" s="4"/>
    </row>
    <row r="919" spans="1:15" x14ac:dyDescent="0.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</row>
    <row r="920" spans="1:15" x14ac:dyDescent="0.3">
      <c r="A920" s="4" t="s">
        <v>504</v>
      </c>
      <c r="B920" s="4" t="s">
        <v>49</v>
      </c>
      <c r="C920" s="4" t="s">
        <v>12</v>
      </c>
      <c r="D920" s="4">
        <v>14174382</v>
      </c>
      <c r="E920" s="4">
        <v>46</v>
      </c>
      <c r="F920" s="4" t="s">
        <v>1433</v>
      </c>
      <c r="G920" s="4">
        <v>46</v>
      </c>
      <c r="H920" s="4">
        <v>0</v>
      </c>
      <c r="I920" s="4">
        <v>0</v>
      </c>
      <c r="J920" s="4"/>
      <c r="K920" s="4"/>
      <c r="L920" s="4"/>
      <c r="M920" s="4"/>
      <c r="N920" s="4"/>
      <c r="O920" s="4"/>
    </row>
    <row r="921" spans="1:15" x14ac:dyDescent="0.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</row>
    <row r="922" spans="1:15" x14ac:dyDescent="0.3">
      <c r="A922" s="4" t="s">
        <v>505</v>
      </c>
      <c r="B922" s="4" t="s">
        <v>49</v>
      </c>
      <c r="C922" s="4" t="s">
        <v>12</v>
      </c>
      <c r="D922" s="4">
        <v>14177856</v>
      </c>
      <c r="E922" s="4">
        <v>200</v>
      </c>
      <c r="F922" s="4" t="s">
        <v>1433</v>
      </c>
      <c r="G922" s="4">
        <v>200</v>
      </c>
      <c r="H922" s="4">
        <v>0</v>
      </c>
      <c r="I922" s="4">
        <v>0</v>
      </c>
      <c r="J922" s="4"/>
      <c r="K922" s="4"/>
      <c r="L922" s="4"/>
      <c r="M922" s="4"/>
      <c r="N922" s="4"/>
      <c r="O922" s="4"/>
    </row>
    <row r="923" spans="1:15" x14ac:dyDescent="0.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</row>
    <row r="924" spans="1:15" x14ac:dyDescent="0.3">
      <c r="A924" s="4" t="s">
        <v>506</v>
      </c>
      <c r="B924" s="4" t="s">
        <v>49</v>
      </c>
      <c r="C924" s="4" t="s">
        <v>12</v>
      </c>
      <c r="D924" s="4">
        <v>14182446</v>
      </c>
      <c r="E924" s="4">
        <v>9</v>
      </c>
      <c r="F924" s="4" t="s">
        <v>1433</v>
      </c>
      <c r="G924" s="4">
        <v>9</v>
      </c>
      <c r="H924" s="4">
        <v>0</v>
      </c>
      <c r="I924" s="4">
        <v>0</v>
      </c>
      <c r="J924" s="4"/>
      <c r="K924" s="4"/>
      <c r="L924" s="4"/>
      <c r="M924" s="4"/>
      <c r="N924" s="4"/>
      <c r="O924" s="4"/>
    </row>
    <row r="925" spans="1:15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</row>
    <row r="926" spans="1:15" x14ac:dyDescent="0.3">
      <c r="A926" s="4" t="s">
        <v>507</v>
      </c>
      <c r="B926" s="4" t="s">
        <v>49</v>
      </c>
      <c r="C926" s="4" t="s">
        <v>12</v>
      </c>
      <c r="D926" s="4">
        <v>14182500</v>
      </c>
      <c r="E926" s="4">
        <v>21</v>
      </c>
      <c r="F926" s="4" t="s">
        <v>1433</v>
      </c>
      <c r="G926" s="4">
        <v>21</v>
      </c>
      <c r="H926" s="4">
        <v>0</v>
      </c>
      <c r="I926" s="4">
        <v>0</v>
      </c>
      <c r="J926" s="4"/>
      <c r="K926" s="4"/>
      <c r="L926" s="4"/>
      <c r="M926" s="4"/>
      <c r="N926" s="4"/>
      <c r="O926" s="4"/>
    </row>
    <row r="927" spans="1:15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</row>
    <row r="928" spans="1:15" x14ac:dyDescent="0.3">
      <c r="A928" s="4" t="s">
        <v>508</v>
      </c>
      <c r="B928" s="4" t="s">
        <v>49</v>
      </c>
      <c r="C928" s="4" t="s">
        <v>12</v>
      </c>
      <c r="D928" s="4">
        <v>14183118</v>
      </c>
      <c r="E928" s="4">
        <v>135</v>
      </c>
      <c r="F928" s="4" t="s">
        <v>1433</v>
      </c>
      <c r="G928" s="4">
        <v>135</v>
      </c>
      <c r="H928" s="4">
        <v>0</v>
      </c>
      <c r="I928" s="4">
        <v>0</v>
      </c>
      <c r="J928" s="4"/>
      <c r="K928" s="4"/>
      <c r="L928" s="4"/>
      <c r="M928" s="4"/>
      <c r="N928" s="4"/>
      <c r="O928" s="4"/>
    </row>
    <row r="929" spans="1:15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</row>
    <row r="930" spans="1:15" x14ac:dyDescent="0.3">
      <c r="A930" s="4" t="s">
        <v>509</v>
      </c>
      <c r="B930" s="4" t="s">
        <v>49</v>
      </c>
      <c r="C930" s="4" t="s">
        <v>12</v>
      </c>
      <c r="D930" s="4">
        <v>14183124</v>
      </c>
      <c r="E930" s="4">
        <v>145</v>
      </c>
      <c r="F930" s="4" t="s">
        <v>1433</v>
      </c>
      <c r="G930" s="4">
        <v>145</v>
      </c>
      <c r="H930" s="4">
        <v>0</v>
      </c>
      <c r="I930" s="4">
        <v>0</v>
      </c>
      <c r="J930" s="4"/>
      <c r="K930" s="4"/>
      <c r="L930" s="4"/>
      <c r="M930" s="4"/>
      <c r="N930" s="4"/>
      <c r="O930" s="4"/>
    </row>
    <row r="931" spans="1:15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</row>
    <row r="932" spans="1:15" x14ac:dyDescent="0.3">
      <c r="A932" s="4" t="s">
        <v>510</v>
      </c>
      <c r="B932" s="4" t="s">
        <v>49</v>
      </c>
      <c r="C932" s="4" t="s">
        <v>12</v>
      </c>
      <c r="D932" s="4">
        <v>14185116</v>
      </c>
      <c r="E932" s="4">
        <v>30</v>
      </c>
      <c r="F932" s="4" t="s">
        <v>1433</v>
      </c>
      <c r="G932" s="4">
        <v>30</v>
      </c>
      <c r="H932" s="4">
        <v>0</v>
      </c>
      <c r="I932" s="4">
        <v>0</v>
      </c>
      <c r="J932" s="4"/>
      <c r="K932" s="4"/>
      <c r="L932" s="4"/>
      <c r="M932" s="4"/>
      <c r="N932" s="4"/>
      <c r="O932" s="4"/>
    </row>
    <row r="933" spans="1:15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</row>
    <row r="934" spans="1:15" x14ac:dyDescent="0.3">
      <c r="A934" s="4" t="s">
        <v>511</v>
      </c>
      <c r="B934" s="4" t="s">
        <v>49</v>
      </c>
      <c r="C934" s="4" t="s">
        <v>12</v>
      </c>
      <c r="D934" s="4">
        <v>14185302</v>
      </c>
      <c r="E934" s="4">
        <v>17</v>
      </c>
      <c r="F934" s="4" t="s">
        <v>1433</v>
      </c>
      <c r="G934" s="4">
        <v>17</v>
      </c>
      <c r="H934" s="4">
        <v>0</v>
      </c>
      <c r="I934" s="4">
        <v>0</v>
      </c>
      <c r="J934" s="4"/>
      <c r="K934" s="4"/>
      <c r="L934" s="4"/>
      <c r="M934" s="4"/>
      <c r="N934" s="4"/>
      <c r="O934" s="4"/>
    </row>
    <row r="935" spans="1:15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</row>
    <row r="936" spans="1:15" x14ac:dyDescent="0.3">
      <c r="A936" s="4" t="s">
        <v>512</v>
      </c>
      <c r="B936" s="4" t="s">
        <v>49</v>
      </c>
      <c r="C936" s="4" t="s">
        <v>12</v>
      </c>
      <c r="D936" s="4">
        <v>14185668</v>
      </c>
      <c r="E936" s="4">
        <v>14</v>
      </c>
      <c r="F936" s="4" t="s">
        <v>1433</v>
      </c>
      <c r="G936" s="4">
        <v>14</v>
      </c>
      <c r="H936" s="4">
        <v>0</v>
      </c>
      <c r="I936" s="4">
        <v>0</v>
      </c>
      <c r="J936" s="4"/>
      <c r="K936" s="4"/>
      <c r="L936" s="4"/>
      <c r="M936" s="4"/>
      <c r="N936" s="4"/>
      <c r="O936" s="4"/>
    </row>
    <row r="937" spans="1:15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</row>
    <row r="938" spans="1:15" x14ac:dyDescent="0.3">
      <c r="A938" s="4" t="s">
        <v>513</v>
      </c>
      <c r="B938" s="4" t="s">
        <v>49</v>
      </c>
      <c r="C938" s="4" t="s">
        <v>12</v>
      </c>
      <c r="D938" s="4">
        <v>14185932</v>
      </c>
      <c r="E938" s="4">
        <v>14</v>
      </c>
      <c r="F938" s="4" t="s">
        <v>1433</v>
      </c>
      <c r="G938" s="4">
        <v>14</v>
      </c>
      <c r="H938" s="4">
        <v>0</v>
      </c>
      <c r="I938" s="4">
        <v>0</v>
      </c>
      <c r="J938" s="4"/>
      <c r="K938" s="4"/>
      <c r="L938" s="4"/>
      <c r="M938" s="4"/>
      <c r="N938" s="4"/>
      <c r="O938" s="4"/>
    </row>
    <row r="939" spans="1:15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</row>
    <row r="940" spans="1:15" x14ac:dyDescent="0.3">
      <c r="A940" s="4" t="s">
        <v>514</v>
      </c>
      <c r="B940" s="4" t="s">
        <v>49</v>
      </c>
      <c r="C940" s="4" t="s">
        <v>12</v>
      </c>
      <c r="D940" s="4">
        <v>14186232</v>
      </c>
      <c r="E940" s="4">
        <v>13</v>
      </c>
      <c r="F940" s="4" t="s">
        <v>1433</v>
      </c>
      <c r="G940" s="4">
        <v>13</v>
      </c>
      <c r="H940" s="4">
        <v>0</v>
      </c>
      <c r="I940" s="4">
        <v>0</v>
      </c>
      <c r="J940" s="4"/>
      <c r="K940" s="4"/>
      <c r="L940" s="4"/>
      <c r="M940" s="4"/>
      <c r="N940" s="4"/>
      <c r="O940" s="4"/>
    </row>
    <row r="941" spans="1:15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</row>
    <row r="942" spans="1:15" x14ac:dyDescent="0.3">
      <c r="A942" s="4" t="s">
        <v>515</v>
      </c>
      <c r="B942" s="4" t="s">
        <v>49</v>
      </c>
      <c r="C942" s="4" t="s">
        <v>12</v>
      </c>
      <c r="D942" s="4">
        <v>14186748</v>
      </c>
      <c r="E942" s="4">
        <v>144</v>
      </c>
      <c r="F942" s="4" t="s">
        <v>1433</v>
      </c>
      <c r="G942" s="4">
        <v>144</v>
      </c>
      <c r="H942" s="4">
        <v>0</v>
      </c>
      <c r="I942" s="4">
        <v>0</v>
      </c>
      <c r="J942" s="4"/>
      <c r="K942" s="4"/>
      <c r="L942" s="4"/>
      <c r="M942" s="4"/>
      <c r="N942" s="4"/>
      <c r="O942" s="4"/>
    </row>
    <row r="943" spans="1:15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</row>
    <row r="944" spans="1:15" x14ac:dyDescent="0.3">
      <c r="A944" s="4" t="s">
        <v>516</v>
      </c>
      <c r="B944" s="4" t="s">
        <v>49</v>
      </c>
      <c r="C944" s="4" t="s">
        <v>12</v>
      </c>
      <c r="D944" s="4">
        <v>14191404</v>
      </c>
      <c r="E944" s="4">
        <v>81</v>
      </c>
      <c r="F944" s="4" t="s">
        <v>1433</v>
      </c>
      <c r="G944" s="4">
        <v>81</v>
      </c>
      <c r="H944" s="4">
        <v>0</v>
      </c>
      <c r="I944" s="4">
        <v>0</v>
      </c>
      <c r="J944" s="4"/>
      <c r="K944" s="4"/>
      <c r="L944" s="4"/>
      <c r="M944" s="4"/>
      <c r="N944" s="4"/>
      <c r="O944" s="4"/>
    </row>
    <row r="945" spans="1:15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</row>
    <row r="946" spans="1:15" x14ac:dyDescent="0.3">
      <c r="A946" s="4" t="s">
        <v>517</v>
      </c>
      <c r="B946" s="4" t="s">
        <v>49</v>
      </c>
      <c r="C946" s="4" t="s">
        <v>12</v>
      </c>
      <c r="D946" s="4">
        <v>14192616</v>
      </c>
      <c r="E946" s="4">
        <v>144</v>
      </c>
      <c r="F946" s="4" t="s">
        <v>1433</v>
      </c>
      <c r="G946" s="4">
        <v>144</v>
      </c>
      <c r="H946" s="4">
        <v>0</v>
      </c>
      <c r="I946" s="4">
        <v>0</v>
      </c>
      <c r="J946" s="4"/>
      <c r="K946" s="4"/>
      <c r="L946" s="4"/>
      <c r="M946" s="4"/>
      <c r="N946" s="4"/>
      <c r="O946" s="4"/>
    </row>
    <row r="947" spans="1:15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</row>
    <row r="948" spans="1:15" x14ac:dyDescent="0.3">
      <c r="A948" s="4" t="s">
        <v>518</v>
      </c>
      <c r="B948" s="4" t="s">
        <v>49</v>
      </c>
      <c r="C948" s="4" t="s">
        <v>12</v>
      </c>
      <c r="D948" s="4">
        <v>14194518</v>
      </c>
      <c r="E948" s="4">
        <v>16</v>
      </c>
      <c r="F948" s="4" t="s">
        <v>1433</v>
      </c>
      <c r="G948" s="4">
        <v>16</v>
      </c>
      <c r="H948" s="4">
        <v>0</v>
      </c>
      <c r="I948" s="4">
        <v>0</v>
      </c>
      <c r="J948" s="4"/>
      <c r="K948" s="4"/>
      <c r="L948" s="4"/>
      <c r="M948" s="4"/>
      <c r="N948" s="4"/>
      <c r="O948" s="4"/>
    </row>
    <row r="949" spans="1:15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</row>
    <row r="950" spans="1:15" x14ac:dyDescent="0.3">
      <c r="A950" s="4" t="s">
        <v>519</v>
      </c>
      <c r="B950" s="4" t="s">
        <v>49</v>
      </c>
      <c r="C950" s="4" t="s">
        <v>12</v>
      </c>
      <c r="D950" s="4">
        <v>14197842</v>
      </c>
      <c r="E950" s="4">
        <v>273</v>
      </c>
      <c r="F950" s="4" t="s">
        <v>1433</v>
      </c>
      <c r="G950" s="4">
        <v>273</v>
      </c>
      <c r="H950" s="4">
        <v>0</v>
      </c>
      <c r="I950" s="4">
        <v>0</v>
      </c>
      <c r="J950" s="4"/>
      <c r="K950" s="4"/>
      <c r="L950" s="4"/>
      <c r="M950" s="4"/>
      <c r="N950" s="4"/>
      <c r="O950" s="4"/>
    </row>
    <row r="951" spans="1:15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</row>
    <row r="952" spans="1:15" x14ac:dyDescent="0.3">
      <c r="A952" s="4" t="s">
        <v>520</v>
      </c>
      <c r="B952" s="4" t="s">
        <v>49</v>
      </c>
      <c r="C952" s="4" t="s">
        <v>12</v>
      </c>
      <c r="D952" s="4">
        <v>14200146</v>
      </c>
      <c r="E952" s="4">
        <v>15</v>
      </c>
      <c r="F952" s="4" t="s">
        <v>1433</v>
      </c>
      <c r="G952" s="4">
        <v>15</v>
      </c>
      <c r="H952" s="4">
        <v>0</v>
      </c>
      <c r="I952" s="4">
        <v>0</v>
      </c>
      <c r="J952" s="4"/>
      <c r="K952" s="4"/>
      <c r="L952" s="4"/>
      <c r="M952" s="4"/>
      <c r="N952" s="4"/>
      <c r="O952" s="4"/>
    </row>
    <row r="953" spans="1:15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</row>
    <row r="954" spans="1:15" x14ac:dyDescent="0.3">
      <c r="A954" s="4" t="s">
        <v>521</v>
      </c>
      <c r="B954" s="4" t="s">
        <v>49</v>
      </c>
      <c r="C954" s="4" t="s">
        <v>12</v>
      </c>
      <c r="D954" s="4">
        <v>14200170</v>
      </c>
      <c r="E954" s="4">
        <v>145</v>
      </c>
      <c r="F954" s="4" t="s">
        <v>1433</v>
      </c>
      <c r="G954" s="4">
        <v>145</v>
      </c>
      <c r="H954" s="4">
        <v>0</v>
      </c>
      <c r="I954" s="4">
        <v>0</v>
      </c>
      <c r="J954" s="4"/>
      <c r="K954" s="4"/>
      <c r="L954" s="4"/>
      <c r="M954" s="4"/>
      <c r="N954" s="4"/>
      <c r="O954" s="4"/>
    </row>
    <row r="955" spans="1:15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</row>
    <row r="956" spans="1:15" x14ac:dyDescent="0.3">
      <c r="A956" s="4" t="s">
        <v>522</v>
      </c>
      <c r="B956" s="4" t="s">
        <v>49</v>
      </c>
      <c r="C956" s="4" t="s">
        <v>12</v>
      </c>
      <c r="D956" s="4">
        <v>14201034</v>
      </c>
      <c r="E956" s="4">
        <v>21</v>
      </c>
      <c r="F956" s="4" t="s">
        <v>1433</v>
      </c>
      <c r="G956" s="4">
        <v>21</v>
      </c>
      <c r="H956" s="4">
        <v>0</v>
      </c>
      <c r="I956" s="4">
        <v>0</v>
      </c>
      <c r="J956" s="4"/>
      <c r="K956" s="4"/>
      <c r="L956" s="4"/>
      <c r="M956" s="4"/>
      <c r="N956" s="4"/>
      <c r="O956" s="4"/>
    </row>
    <row r="957" spans="1:15" x14ac:dyDescent="0.3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</row>
    <row r="958" spans="1:15" x14ac:dyDescent="0.3">
      <c r="A958" s="4" t="s">
        <v>523</v>
      </c>
      <c r="B958" s="4" t="s">
        <v>49</v>
      </c>
      <c r="C958" s="4" t="s">
        <v>12</v>
      </c>
      <c r="D958" s="4">
        <v>14201466</v>
      </c>
      <c r="E958" s="4">
        <v>24</v>
      </c>
      <c r="F958" s="4" t="s">
        <v>1433</v>
      </c>
      <c r="G958" s="4">
        <v>24</v>
      </c>
      <c r="H958" s="4">
        <v>0</v>
      </c>
      <c r="I958" s="4">
        <v>0</v>
      </c>
      <c r="J958" s="4"/>
      <c r="K958" s="4"/>
      <c r="L958" s="4"/>
      <c r="M958" s="4"/>
      <c r="N958" s="4"/>
      <c r="O958" s="4"/>
    </row>
    <row r="959" spans="1:15" x14ac:dyDescent="0.3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</row>
    <row r="960" spans="1:15" x14ac:dyDescent="0.3">
      <c r="A960" s="4" t="s">
        <v>524</v>
      </c>
      <c r="B960" s="4" t="s">
        <v>49</v>
      </c>
      <c r="C960" s="4" t="s">
        <v>12</v>
      </c>
      <c r="D960" s="4">
        <v>14205510</v>
      </c>
      <c r="E960" s="4">
        <v>311</v>
      </c>
      <c r="F960" s="4" t="s">
        <v>1433</v>
      </c>
      <c r="G960" s="4">
        <v>311</v>
      </c>
      <c r="H960" s="4">
        <v>0</v>
      </c>
      <c r="I960" s="4">
        <v>0</v>
      </c>
      <c r="J960" s="4"/>
      <c r="K960" s="4"/>
      <c r="L960" s="4"/>
      <c r="M960" s="4"/>
      <c r="N960" s="4"/>
      <c r="O960" s="4"/>
    </row>
    <row r="961" spans="1:15" x14ac:dyDescent="0.3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</row>
    <row r="962" spans="1:15" x14ac:dyDescent="0.3">
      <c r="A962" s="4" t="s">
        <v>525</v>
      </c>
      <c r="B962" s="4" t="s">
        <v>49</v>
      </c>
      <c r="C962" s="4" t="s">
        <v>12</v>
      </c>
      <c r="D962" s="4">
        <v>14205516</v>
      </c>
      <c r="E962" s="4">
        <v>320</v>
      </c>
      <c r="F962" s="4" t="s">
        <v>1433</v>
      </c>
      <c r="G962" s="4">
        <v>320</v>
      </c>
      <c r="H962" s="4">
        <v>0</v>
      </c>
      <c r="I962" s="4">
        <v>0</v>
      </c>
      <c r="J962" s="4"/>
      <c r="K962" s="4"/>
      <c r="L962" s="4"/>
      <c r="M962" s="4"/>
      <c r="N962" s="4"/>
      <c r="O962" s="4"/>
    </row>
    <row r="963" spans="1:15" x14ac:dyDescent="0.3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</row>
    <row r="964" spans="1:15" x14ac:dyDescent="0.3">
      <c r="A964" s="4" t="s">
        <v>526</v>
      </c>
      <c r="B964" s="4" t="s">
        <v>49</v>
      </c>
      <c r="C964" s="4" t="s">
        <v>12</v>
      </c>
      <c r="D964" s="4">
        <v>14207010</v>
      </c>
      <c r="E964" s="4">
        <v>208</v>
      </c>
      <c r="F964" s="4" t="s">
        <v>1433</v>
      </c>
      <c r="G964" s="4">
        <v>208</v>
      </c>
      <c r="H964" s="4">
        <v>0</v>
      </c>
      <c r="I964" s="4">
        <v>0</v>
      </c>
      <c r="J964" s="4"/>
      <c r="K964" s="4"/>
      <c r="L964" s="4"/>
      <c r="M964" s="4"/>
      <c r="N964" s="4"/>
      <c r="O964" s="4"/>
    </row>
    <row r="965" spans="1:15" x14ac:dyDescent="0.3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</row>
    <row r="966" spans="1:15" x14ac:dyDescent="0.3">
      <c r="A966" s="4" t="s">
        <v>527</v>
      </c>
      <c r="B966" s="4" t="s">
        <v>49</v>
      </c>
      <c r="C966" s="4" t="s">
        <v>12</v>
      </c>
      <c r="D966" s="4">
        <v>14213892</v>
      </c>
      <c r="E966" s="4">
        <v>64</v>
      </c>
      <c r="F966" s="4" t="s">
        <v>1433</v>
      </c>
      <c r="G966" s="4">
        <v>64</v>
      </c>
      <c r="H966" s="4">
        <v>0</v>
      </c>
      <c r="I966" s="4">
        <v>0</v>
      </c>
      <c r="J966" s="4"/>
      <c r="K966" s="4"/>
      <c r="L966" s="4"/>
      <c r="M966" s="4"/>
      <c r="N966" s="4"/>
      <c r="O966" s="4"/>
    </row>
    <row r="967" spans="1:15" x14ac:dyDescent="0.3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</row>
    <row r="968" spans="1:15" x14ac:dyDescent="0.3">
      <c r="A968" s="4" t="s">
        <v>528</v>
      </c>
      <c r="B968" s="4" t="s">
        <v>49</v>
      </c>
      <c r="C968" s="4" t="s">
        <v>12</v>
      </c>
      <c r="D968" s="4">
        <v>14215278</v>
      </c>
      <c r="E968" s="4">
        <v>221</v>
      </c>
      <c r="F968" s="4" t="s">
        <v>1433</v>
      </c>
      <c r="G968" s="4">
        <v>221</v>
      </c>
      <c r="H968" s="4">
        <v>0</v>
      </c>
      <c r="I968" s="4">
        <v>0</v>
      </c>
      <c r="J968" s="4"/>
      <c r="K968" s="4"/>
      <c r="L968" s="4"/>
      <c r="M968" s="4"/>
      <c r="N968" s="4"/>
      <c r="O968" s="4"/>
    </row>
    <row r="969" spans="1:15" x14ac:dyDescent="0.3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</row>
    <row r="970" spans="1:15" x14ac:dyDescent="0.3">
      <c r="A970" s="4" t="s">
        <v>529</v>
      </c>
      <c r="B970" s="4" t="s">
        <v>49</v>
      </c>
      <c r="C970" s="4" t="s">
        <v>12</v>
      </c>
      <c r="D970" s="4">
        <v>14215674</v>
      </c>
      <c r="E970" s="4">
        <v>370</v>
      </c>
      <c r="F970" s="4" t="s">
        <v>1433</v>
      </c>
      <c r="G970" s="4">
        <v>370</v>
      </c>
      <c r="H970" s="4">
        <v>0</v>
      </c>
      <c r="I970" s="4">
        <v>0</v>
      </c>
      <c r="J970" s="4"/>
      <c r="K970" s="4"/>
      <c r="L970" s="4"/>
      <c r="M970" s="4"/>
      <c r="N970" s="4"/>
      <c r="O970" s="4"/>
    </row>
    <row r="971" spans="1:15" x14ac:dyDescent="0.3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</row>
    <row r="972" spans="1:15" x14ac:dyDescent="0.3">
      <c r="A972" s="4" t="s">
        <v>530</v>
      </c>
      <c r="B972" s="4" t="s">
        <v>49</v>
      </c>
      <c r="C972" s="4" t="s">
        <v>12</v>
      </c>
      <c r="D972" s="4">
        <v>14215680</v>
      </c>
      <c r="E972" s="4">
        <v>370</v>
      </c>
      <c r="F972" s="4" t="s">
        <v>1433</v>
      </c>
      <c r="G972" s="4">
        <v>370</v>
      </c>
      <c r="H972" s="4">
        <v>0</v>
      </c>
      <c r="I972" s="4">
        <v>0</v>
      </c>
      <c r="J972" s="4"/>
      <c r="K972" s="4"/>
      <c r="L972" s="4"/>
      <c r="M972" s="4"/>
      <c r="N972" s="4"/>
      <c r="O972" s="4"/>
    </row>
    <row r="973" spans="1:15" x14ac:dyDescent="0.3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</row>
    <row r="974" spans="1:15" x14ac:dyDescent="0.3">
      <c r="A974" s="4" t="s">
        <v>531</v>
      </c>
      <c r="B974" s="4" t="s">
        <v>49</v>
      </c>
      <c r="C974" s="4" t="s">
        <v>12</v>
      </c>
      <c r="D974" s="4">
        <v>14215692</v>
      </c>
      <c r="E974" s="4">
        <v>370</v>
      </c>
      <c r="F974" s="4" t="s">
        <v>1433</v>
      </c>
      <c r="G974" s="4">
        <v>370</v>
      </c>
      <c r="H974" s="4">
        <v>0</v>
      </c>
      <c r="I974" s="4">
        <v>0</v>
      </c>
      <c r="J974" s="4"/>
      <c r="K974" s="4"/>
      <c r="L974" s="4"/>
      <c r="M974" s="4"/>
      <c r="N974" s="4"/>
      <c r="O974" s="4"/>
    </row>
    <row r="975" spans="1:15" x14ac:dyDescent="0.3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</row>
    <row r="976" spans="1:15" x14ac:dyDescent="0.3">
      <c r="A976" s="4" t="s">
        <v>532</v>
      </c>
      <c r="B976" s="4" t="s">
        <v>49</v>
      </c>
      <c r="C976" s="4" t="s">
        <v>12</v>
      </c>
      <c r="D976" s="4">
        <v>14215806</v>
      </c>
      <c r="E976" s="4">
        <v>575</v>
      </c>
      <c r="F976" s="4" t="s">
        <v>1433</v>
      </c>
      <c r="G976" s="4">
        <v>575</v>
      </c>
      <c r="H976" s="4">
        <v>0</v>
      </c>
      <c r="I976" s="4">
        <v>0</v>
      </c>
      <c r="J976" s="4"/>
      <c r="K976" s="4"/>
      <c r="L976" s="4"/>
      <c r="M976" s="4"/>
      <c r="N976" s="4"/>
      <c r="O976" s="4"/>
    </row>
    <row r="977" spans="1:15" x14ac:dyDescent="0.3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</row>
    <row r="978" spans="1:15" x14ac:dyDescent="0.3">
      <c r="A978" s="4" t="s">
        <v>533</v>
      </c>
      <c r="B978" s="4" t="s">
        <v>49</v>
      </c>
      <c r="C978" s="4" t="s">
        <v>12</v>
      </c>
      <c r="D978" s="4">
        <v>14217186</v>
      </c>
      <c r="E978" s="4">
        <v>31</v>
      </c>
      <c r="F978" s="4" t="s">
        <v>1433</v>
      </c>
      <c r="G978" s="4">
        <v>31</v>
      </c>
      <c r="H978" s="4">
        <v>0</v>
      </c>
      <c r="I978" s="4">
        <v>0</v>
      </c>
      <c r="J978" s="4"/>
      <c r="K978" s="4"/>
      <c r="L978" s="4"/>
      <c r="M978" s="4"/>
      <c r="N978" s="4"/>
      <c r="O978" s="4"/>
    </row>
    <row r="979" spans="1:15" x14ac:dyDescent="0.3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</row>
    <row r="980" spans="1:15" x14ac:dyDescent="0.3">
      <c r="A980" s="4" t="s">
        <v>534</v>
      </c>
      <c r="B980" s="4" t="s">
        <v>49</v>
      </c>
      <c r="C980" s="4" t="s">
        <v>12</v>
      </c>
      <c r="D980" s="4">
        <v>14217822</v>
      </c>
      <c r="E980" s="4">
        <v>203</v>
      </c>
      <c r="F980" s="4" t="s">
        <v>1433</v>
      </c>
      <c r="G980" s="4">
        <v>203</v>
      </c>
      <c r="H980" s="4">
        <v>0</v>
      </c>
      <c r="I980" s="4">
        <v>0</v>
      </c>
      <c r="J980" s="4"/>
      <c r="K980" s="4"/>
      <c r="L980" s="4"/>
      <c r="M980" s="4"/>
      <c r="N980" s="4"/>
      <c r="O980" s="4"/>
    </row>
    <row r="981" spans="1:15" x14ac:dyDescent="0.3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</row>
    <row r="982" spans="1:15" x14ac:dyDescent="0.3">
      <c r="A982" s="4" t="s">
        <v>535</v>
      </c>
      <c r="B982" s="4" t="s">
        <v>49</v>
      </c>
      <c r="C982" s="4" t="s">
        <v>12</v>
      </c>
      <c r="D982" s="4">
        <v>14220072</v>
      </c>
      <c r="E982" s="4">
        <v>32</v>
      </c>
      <c r="F982" s="4" t="s">
        <v>1433</v>
      </c>
      <c r="G982" s="4">
        <v>32</v>
      </c>
      <c r="H982" s="4">
        <v>0</v>
      </c>
      <c r="I982" s="4">
        <v>0</v>
      </c>
      <c r="J982" s="4"/>
      <c r="K982" s="4"/>
      <c r="L982" s="4"/>
      <c r="M982" s="4"/>
      <c r="N982" s="4"/>
      <c r="O982" s="4"/>
    </row>
    <row r="983" spans="1:15" x14ac:dyDescent="0.3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</row>
    <row r="984" spans="1:15" x14ac:dyDescent="0.3">
      <c r="A984" s="4" t="s">
        <v>536</v>
      </c>
      <c r="B984" s="4" t="s">
        <v>49</v>
      </c>
      <c r="C984" s="4" t="s">
        <v>12</v>
      </c>
      <c r="D984" s="4">
        <v>14223078</v>
      </c>
      <c r="E984" s="4">
        <v>1553</v>
      </c>
      <c r="F984" s="4" t="s">
        <v>1433</v>
      </c>
      <c r="G984" s="4">
        <v>1553</v>
      </c>
      <c r="H984" s="4">
        <v>0</v>
      </c>
      <c r="I984" s="4">
        <v>0</v>
      </c>
      <c r="J984" s="4"/>
      <c r="K984" s="4"/>
      <c r="L984" s="4"/>
      <c r="M984" s="4"/>
      <c r="N984" s="4"/>
      <c r="O984" s="4"/>
    </row>
    <row r="985" spans="1:15" x14ac:dyDescent="0.3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</row>
    <row r="986" spans="1:15" x14ac:dyDescent="0.3">
      <c r="A986" s="4" t="s">
        <v>537</v>
      </c>
      <c r="B986" s="4" t="s">
        <v>49</v>
      </c>
      <c r="C986" s="4" t="s">
        <v>12</v>
      </c>
      <c r="D986" s="4">
        <v>14224536</v>
      </c>
      <c r="E986" s="4">
        <v>14</v>
      </c>
      <c r="F986" s="4" t="s">
        <v>1433</v>
      </c>
      <c r="G986" s="4">
        <v>14</v>
      </c>
      <c r="H986" s="4">
        <v>0</v>
      </c>
      <c r="I986" s="4">
        <v>0</v>
      </c>
      <c r="J986" s="4"/>
      <c r="K986" s="4"/>
      <c r="L986" s="4"/>
      <c r="M986" s="4"/>
      <c r="N986" s="4"/>
      <c r="O986" s="4"/>
    </row>
    <row r="987" spans="1:15" x14ac:dyDescent="0.3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</row>
    <row r="988" spans="1:15" x14ac:dyDescent="0.3">
      <c r="A988" s="4" t="s">
        <v>538</v>
      </c>
      <c r="B988" s="4" t="s">
        <v>49</v>
      </c>
      <c r="C988" s="4" t="s">
        <v>12</v>
      </c>
      <c r="D988" s="4">
        <v>14226090</v>
      </c>
      <c r="E988" s="4">
        <v>42</v>
      </c>
      <c r="F988" s="4" t="s">
        <v>1433</v>
      </c>
      <c r="G988" s="4">
        <v>42</v>
      </c>
      <c r="H988" s="4">
        <v>0</v>
      </c>
      <c r="I988" s="4">
        <v>0</v>
      </c>
      <c r="J988" s="4"/>
      <c r="K988" s="4"/>
      <c r="L988" s="4"/>
      <c r="M988" s="4"/>
      <c r="N988" s="4"/>
      <c r="O988" s="4"/>
    </row>
    <row r="989" spans="1:15" x14ac:dyDescent="0.3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</row>
    <row r="990" spans="1:15" x14ac:dyDescent="0.3">
      <c r="A990" s="4" t="s">
        <v>539</v>
      </c>
      <c r="B990" s="4" t="s">
        <v>49</v>
      </c>
      <c r="C990" s="4" t="s">
        <v>12</v>
      </c>
      <c r="D990" s="4">
        <v>14229624</v>
      </c>
      <c r="E990" s="4">
        <v>42</v>
      </c>
      <c r="F990" s="4" t="s">
        <v>1433</v>
      </c>
      <c r="G990" s="4">
        <v>42</v>
      </c>
      <c r="H990" s="4">
        <v>0</v>
      </c>
      <c r="I990" s="4">
        <v>0</v>
      </c>
      <c r="J990" s="4"/>
      <c r="K990" s="4"/>
      <c r="L990" s="4"/>
      <c r="M990" s="4"/>
      <c r="N990" s="4"/>
      <c r="O990" s="4"/>
    </row>
    <row r="991" spans="1:15" x14ac:dyDescent="0.3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</row>
    <row r="992" spans="1:15" x14ac:dyDescent="0.3">
      <c r="A992" s="4" t="s">
        <v>540</v>
      </c>
      <c r="B992" s="4" t="s">
        <v>49</v>
      </c>
      <c r="C992" s="4" t="s">
        <v>12</v>
      </c>
      <c r="D992" s="4">
        <v>14230506</v>
      </c>
      <c r="E992" s="4">
        <v>20</v>
      </c>
      <c r="F992" s="4" t="s">
        <v>1433</v>
      </c>
      <c r="G992" s="4">
        <v>20</v>
      </c>
      <c r="H992" s="4">
        <v>0</v>
      </c>
      <c r="I992" s="4">
        <v>0</v>
      </c>
      <c r="J992" s="4"/>
      <c r="K992" s="4"/>
      <c r="L992" s="4"/>
      <c r="M992" s="4"/>
      <c r="N992" s="4"/>
      <c r="O992" s="4"/>
    </row>
    <row r="993" spans="1:15" x14ac:dyDescent="0.3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</row>
    <row r="994" spans="1:15" x14ac:dyDescent="0.3">
      <c r="A994" s="4" t="s">
        <v>541</v>
      </c>
      <c r="B994" s="4" t="s">
        <v>49</v>
      </c>
      <c r="C994" s="4" t="s">
        <v>12</v>
      </c>
      <c r="D994" s="4">
        <v>14231256</v>
      </c>
      <c r="E994" s="4">
        <v>35</v>
      </c>
      <c r="F994" s="4" t="s">
        <v>1433</v>
      </c>
      <c r="G994" s="4">
        <v>35</v>
      </c>
      <c r="H994" s="4">
        <v>0</v>
      </c>
      <c r="I994" s="4">
        <v>0</v>
      </c>
      <c r="J994" s="4"/>
      <c r="K994" s="4"/>
      <c r="L994" s="4"/>
      <c r="M994" s="4"/>
      <c r="N994" s="4"/>
      <c r="O994" s="4"/>
    </row>
    <row r="995" spans="1:15" x14ac:dyDescent="0.3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</row>
    <row r="996" spans="1:15" x14ac:dyDescent="0.3">
      <c r="A996" s="4" t="s">
        <v>542</v>
      </c>
      <c r="B996" s="4" t="s">
        <v>49</v>
      </c>
      <c r="C996" s="4" t="s">
        <v>12</v>
      </c>
      <c r="D996" s="4">
        <v>14238228</v>
      </c>
      <c r="E996" s="4">
        <v>226</v>
      </c>
      <c r="F996" s="4" t="s">
        <v>1433</v>
      </c>
      <c r="G996" s="4">
        <v>226</v>
      </c>
      <c r="H996" s="4">
        <v>0</v>
      </c>
      <c r="I996" s="4">
        <v>0</v>
      </c>
      <c r="J996" s="4"/>
      <c r="K996" s="4"/>
      <c r="L996" s="4"/>
      <c r="M996" s="4"/>
      <c r="N996" s="4"/>
      <c r="O996" s="4"/>
    </row>
    <row r="997" spans="1:15" x14ac:dyDescent="0.3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</row>
    <row r="998" spans="1:15" x14ac:dyDescent="0.3">
      <c r="A998" s="4" t="s">
        <v>543</v>
      </c>
      <c r="B998" s="4" t="s">
        <v>49</v>
      </c>
      <c r="C998" s="4" t="s">
        <v>12</v>
      </c>
      <c r="D998" s="4">
        <v>14241552</v>
      </c>
      <c r="E998" s="4">
        <v>376</v>
      </c>
      <c r="F998" s="4" t="s">
        <v>1433</v>
      </c>
      <c r="G998" s="4">
        <v>376</v>
      </c>
      <c r="H998" s="4">
        <v>0</v>
      </c>
      <c r="I998" s="4">
        <v>0</v>
      </c>
      <c r="J998" s="4"/>
      <c r="K998" s="4"/>
      <c r="L998" s="4"/>
      <c r="M998" s="4"/>
      <c r="N998" s="4"/>
      <c r="O998" s="4"/>
    </row>
    <row r="999" spans="1:15" x14ac:dyDescent="0.3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</row>
    <row r="1000" spans="1:15" x14ac:dyDescent="0.3">
      <c r="A1000" s="4" t="s">
        <v>544</v>
      </c>
      <c r="B1000" s="4" t="s">
        <v>49</v>
      </c>
      <c r="C1000" s="4" t="s">
        <v>12</v>
      </c>
      <c r="D1000" s="4">
        <v>14242476</v>
      </c>
      <c r="E1000" s="4">
        <v>217</v>
      </c>
      <c r="F1000" s="4" t="s">
        <v>1433</v>
      </c>
      <c r="G1000" s="4">
        <v>217</v>
      </c>
      <c r="H1000" s="4">
        <v>0</v>
      </c>
      <c r="I1000" s="4">
        <v>0</v>
      </c>
      <c r="J1000" s="4"/>
      <c r="K1000" s="4"/>
      <c r="L1000" s="4"/>
      <c r="M1000" s="4"/>
      <c r="N1000" s="4"/>
      <c r="O1000" s="4"/>
    </row>
    <row r="1001" spans="1:15" x14ac:dyDescent="0.3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</row>
    <row r="1002" spans="1:15" x14ac:dyDescent="0.3">
      <c r="A1002" s="4" t="s">
        <v>545</v>
      </c>
      <c r="B1002" s="4" t="s">
        <v>49</v>
      </c>
      <c r="C1002" s="4" t="s">
        <v>12</v>
      </c>
      <c r="D1002" s="4">
        <v>14243010</v>
      </c>
      <c r="E1002" s="4">
        <v>326</v>
      </c>
      <c r="F1002" s="4" t="s">
        <v>1433</v>
      </c>
      <c r="G1002" s="4">
        <v>326</v>
      </c>
      <c r="H1002" s="4">
        <v>0</v>
      </c>
      <c r="I1002" s="4">
        <v>0</v>
      </c>
      <c r="J1002" s="4"/>
      <c r="K1002" s="4"/>
      <c r="L1002" s="4"/>
      <c r="M1002" s="4"/>
      <c r="N1002" s="4"/>
      <c r="O1002" s="4"/>
    </row>
    <row r="1003" spans="1:15" x14ac:dyDescent="0.3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</row>
    <row r="1004" spans="1:15" x14ac:dyDescent="0.3">
      <c r="A1004" s="4" t="s">
        <v>546</v>
      </c>
      <c r="B1004" s="4" t="s">
        <v>49</v>
      </c>
      <c r="C1004" s="4" t="s">
        <v>12</v>
      </c>
      <c r="D1004" s="4">
        <v>14243724</v>
      </c>
      <c r="E1004" s="4">
        <v>21</v>
      </c>
      <c r="F1004" s="4" t="s">
        <v>1433</v>
      </c>
      <c r="G1004" s="4">
        <v>21</v>
      </c>
      <c r="H1004" s="4">
        <v>0</v>
      </c>
      <c r="I1004" s="4">
        <v>0</v>
      </c>
      <c r="J1004" s="4"/>
      <c r="K1004" s="4"/>
      <c r="L1004" s="4"/>
      <c r="M1004" s="4"/>
      <c r="N1004" s="4"/>
      <c r="O1004" s="4"/>
    </row>
    <row r="1005" spans="1:15" x14ac:dyDescent="0.3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</row>
    <row r="1006" spans="1:15" x14ac:dyDescent="0.3">
      <c r="A1006" s="4" t="s">
        <v>547</v>
      </c>
      <c r="B1006" s="4" t="s">
        <v>49</v>
      </c>
      <c r="C1006" s="4" t="s">
        <v>12</v>
      </c>
      <c r="D1006" s="4">
        <v>14245116</v>
      </c>
      <c r="E1006" s="4">
        <v>4</v>
      </c>
      <c r="F1006" s="4" t="s">
        <v>1433</v>
      </c>
      <c r="G1006" s="4">
        <v>4</v>
      </c>
      <c r="H1006" s="4">
        <v>0</v>
      </c>
      <c r="I1006" s="4">
        <v>0</v>
      </c>
      <c r="J1006" s="4"/>
      <c r="K1006" s="4"/>
      <c r="L1006" s="4"/>
      <c r="M1006" s="4"/>
      <c r="N1006" s="4"/>
      <c r="O1006" s="4"/>
    </row>
    <row r="1007" spans="1:15" x14ac:dyDescent="0.3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</row>
    <row r="1008" spans="1:15" x14ac:dyDescent="0.3">
      <c r="A1008" s="4" t="s">
        <v>548</v>
      </c>
      <c r="B1008" s="4" t="s">
        <v>49</v>
      </c>
      <c r="C1008" s="4" t="s">
        <v>12</v>
      </c>
      <c r="D1008" s="4">
        <v>14245572</v>
      </c>
      <c r="E1008" s="4">
        <v>234</v>
      </c>
      <c r="F1008" s="4" t="s">
        <v>1433</v>
      </c>
      <c r="G1008" s="4">
        <v>234</v>
      </c>
      <c r="H1008" s="4">
        <v>0</v>
      </c>
      <c r="I1008" s="4">
        <v>0</v>
      </c>
      <c r="J1008" s="4"/>
      <c r="K1008" s="4"/>
      <c r="L1008" s="4"/>
      <c r="M1008" s="4"/>
      <c r="N1008" s="4"/>
      <c r="O1008" s="4"/>
    </row>
    <row r="1009" spans="1:15" x14ac:dyDescent="0.3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</row>
    <row r="1010" spans="1:15" x14ac:dyDescent="0.3">
      <c r="A1010" s="4" t="s">
        <v>549</v>
      </c>
      <c r="B1010" s="4" t="s">
        <v>49</v>
      </c>
      <c r="C1010" s="4" t="s">
        <v>12</v>
      </c>
      <c r="D1010" s="4">
        <v>14246466</v>
      </c>
      <c r="E1010" s="4">
        <v>676</v>
      </c>
      <c r="F1010" s="4" t="s">
        <v>1433</v>
      </c>
      <c r="G1010" s="4">
        <v>676</v>
      </c>
      <c r="H1010" s="4">
        <v>0</v>
      </c>
      <c r="I1010" s="4">
        <v>0</v>
      </c>
      <c r="J1010" s="4"/>
      <c r="K1010" s="4"/>
      <c r="L1010" s="4"/>
      <c r="M1010" s="4"/>
      <c r="N1010" s="4"/>
      <c r="O1010" s="4"/>
    </row>
    <row r="1011" spans="1:15" x14ac:dyDescent="0.3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</row>
    <row r="1012" spans="1:15" x14ac:dyDescent="0.3">
      <c r="A1012" s="4" t="s">
        <v>550</v>
      </c>
      <c r="B1012" s="4" t="s">
        <v>49</v>
      </c>
      <c r="C1012" s="4" t="s">
        <v>12</v>
      </c>
      <c r="D1012" s="4">
        <v>14250918</v>
      </c>
      <c r="E1012" s="4">
        <v>19</v>
      </c>
      <c r="F1012" s="4" t="s">
        <v>1433</v>
      </c>
      <c r="G1012" s="4">
        <v>19</v>
      </c>
      <c r="H1012" s="4">
        <v>0</v>
      </c>
      <c r="I1012" s="4">
        <v>0</v>
      </c>
      <c r="J1012" s="4"/>
      <c r="K1012" s="4"/>
      <c r="L1012" s="4"/>
      <c r="M1012" s="4"/>
      <c r="N1012" s="4"/>
      <c r="O1012" s="4"/>
    </row>
    <row r="1013" spans="1:15" x14ac:dyDescent="0.3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</row>
    <row r="1014" spans="1:15" x14ac:dyDescent="0.3">
      <c r="A1014" s="4" t="s">
        <v>551</v>
      </c>
      <c r="B1014" s="4" t="s">
        <v>49</v>
      </c>
      <c r="C1014" s="4" t="s">
        <v>12</v>
      </c>
      <c r="D1014" s="4">
        <v>14252166</v>
      </c>
      <c r="E1014" s="4">
        <v>45</v>
      </c>
      <c r="F1014" s="4" t="s">
        <v>1433</v>
      </c>
      <c r="G1014" s="4">
        <v>45</v>
      </c>
      <c r="H1014" s="4">
        <v>0</v>
      </c>
      <c r="I1014" s="4">
        <v>0</v>
      </c>
      <c r="J1014" s="4"/>
      <c r="K1014" s="4"/>
      <c r="L1014" s="4"/>
      <c r="M1014" s="4"/>
      <c r="N1014" s="4"/>
      <c r="O1014" s="4"/>
    </row>
    <row r="1015" spans="1:15" x14ac:dyDescent="0.3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</row>
    <row r="1016" spans="1:15" x14ac:dyDescent="0.3">
      <c r="A1016" s="4" t="s">
        <v>552</v>
      </c>
      <c r="B1016" s="4" t="s">
        <v>49</v>
      </c>
      <c r="C1016" s="4" t="s">
        <v>12</v>
      </c>
      <c r="D1016" s="4">
        <v>14252784</v>
      </c>
      <c r="E1016" s="4">
        <v>44</v>
      </c>
      <c r="F1016" s="4" t="s">
        <v>1433</v>
      </c>
      <c r="G1016" s="4">
        <v>44</v>
      </c>
      <c r="H1016" s="4">
        <v>0</v>
      </c>
      <c r="I1016" s="4">
        <v>0</v>
      </c>
      <c r="J1016" s="4"/>
      <c r="K1016" s="4"/>
      <c r="L1016" s="4"/>
      <c r="M1016" s="4"/>
      <c r="N1016" s="4"/>
      <c r="O1016" s="4"/>
    </row>
    <row r="1017" spans="1:15" x14ac:dyDescent="0.3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</row>
    <row r="1018" spans="1:15" x14ac:dyDescent="0.3">
      <c r="A1018" s="4" t="s">
        <v>553</v>
      </c>
      <c r="B1018" s="4" t="s">
        <v>49</v>
      </c>
      <c r="C1018" s="4" t="s">
        <v>12</v>
      </c>
      <c r="D1018" s="4">
        <v>14253198</v>
      </c>
      <c r="E1018" s="4">
        <v>95</v>
      </c>
      <c r="F1018" s="4" t="s">
        <v>1433</v>
      </c>
      <c r="G1018" s="4">
        <v>95</v>
      </c>
      <c r="H1018" s="4">
        <v>0</v>
      </c>
      <c r="I1018" s="4">
        <v>0</v>
      </c>
      <c r="J1018" s="4"/>
      <c r="K1018" s="4"/>
      <c r="L1018" s="4"/>
      <c r="M1018" s="4"/>
      <c r="N1018" s="4"/>
      <c r="O1018" s="4"/>
    </row>
    <row r="1019" spans="1:15" x14ac:dyDescent="0.3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</row>
    <row r="1020" spans="1:15" x14ac:dyDescent="0.3">
      <c r="A1020" s="4" t="s">
        <v>554</v>
      </c>
      <c r="B1020" s="4" t="s">
        <v>49</v>
      </c>
      <c r="C1020" s="4" t="s">
        <v>12</v>
      </c>
      <c r="D1020" s="4">
        <v>14256066</v>
      </c>
      <c r="E1020" s="4">
        <v>6</v>
      </c>
      <c r="F1020" s="4" t="s">
        <v>1433</v>
      </c>
      <c r="G1020" s="4">
        <v>6</v>
      </c>
      <c r="H1020" s="4">
        <v>0</v>
      </c>
      <c r="I1020" s="4">
        <v>0</v>
      </c>
      <c r="J1020" s="4"/>
      <c r="K1020" s="4"/>
      <c r="L1020" s="4"/>
      <c r="M1020" s="4"/>
      <c r="N1020" s="4"/>
      <c r="O1020" s="4"/>
    </row>
    <row r="1021" spans="1:15" x14ac:dyDescent="0.3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</row>
    <row r="1022" spans="1:15" x14ac:dyDescent="0.3">
      <c r="A1022" s="4" t="s">
        <v>555</v>
      </c>
      <c r="B1022" s="4" t="s">
        <v>49</v>
      </c>
      <c r="C1022" s="4" t="s">
        <v>12</v>
      </c>
      <c r="D1022" s="4">
        <v>14256816</v>
      </c>
      <c r="E1022" s="4">
        <v>34</v>
      </c>
      <c r="F1022" s="4" t="s">
        <v>1433</v>
      </c>
      <c r="G1022" s="4">
        <v>34</v>
      </c>
      <c r="H1022" s="4">
        <v>0</v>
      </c>
      <c r="I1022" s="4">
        <v>0</v>
      </c>
      <c r="J1022" s="4"/>
      <c r="K1022" s="4"/>
      <c r="L1022" s="4"/>
      <c r="M1022" s="4"/>
      <c r="N1022" s="4"/>
      <c r="O1022" s="4"/>
    </row>
    <row r="1023" spans="1:15" x14ac:dyDescent="0.3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</row>
    <row r="1024" spans="1:15" x14ac:dyDescent="0.3">
      <c r="A1024" s="4" t="s">
        <v>556</v>
      </c>
      <c r="B1024" s="4" t="s">
        <v>49</v>
      </c>
      <c r="C1024" s="4" t="s">
        <v>12</v>
      </c>
      <c r="D1024" s="4">
        <v>14258508</v>
      </c>
      <c r="E1024" s="4">
        <v>387</v>
      </c>
      <c r="F1024" s="4" t="s">
        <v>1433</v>
      </c>
      <c r="G1024" s="4">
        <v>387</v>
      </c>
      <c r="H1024" s="4">
        <v>0</v>
      </c>
      <c r="I1024" s="4">
        <v>0</v>
      </c>
      <c r="J1024" s="4"/>
      <c r="K1024" s="4"/>
      <c r="L1024" s="4"/>
      <c r="M1024" s="4"/>
      <c r="N1024" s="4"/>
      <c r="O1024" s="4"/>
    </row>
    <row r="1025" spans="1:15" x14ac:dyDescent="0.3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</row>
    <row r="1026" spans="1:15" x14ac:dyDescent="0.3">
      <c r="A1026" s="4" t="s">
        <v>557</v>
      </c>
      <c r="B1026" s="4" t="s">
        <v>49</v>
      </c>
      <c r="C1026" s="4" t="s">
        <v>12</v>
      </c>
      <c r="D1026" s="4">
        <v>14258556</v>
      </c>
      <c r="E1026" s="4">
        <v>387</v>
      </c>
      <c r="F1026" s="4" t="s">
        <v>1433</v>
      </c>
      <c r="G1026" s="4">
        <v>387</v>
      </c>
      <c r="H1026" s="4">
        <v>0</v>
      </c>
      <c r="I1026" s="4">
        <v>0</v>
      </c>
      <c r="J1026" s="4"/>
      <c r="K1026" s="4"/>
      <c r="L1026" s="4"/>
      <c r="M1026" s="4"/>
      <c r="N1026" s="4"/>
      <c r="O1026" s="4"/>
    </row>
    <row r="1027" spans="1:15" x14ac:dyDescent="0.3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</row>
    <row r="1028" spans="1:15" x14ac:dyDescent="0.3">
      <c r="A1028" s="4" t="s">
        <v>558</v>
      </c>
      <c r="B1028" s="4" t="s">
        <v>49</v>
      </c>
      <c r="C1028" s="4" t="s">
        <v>12</v>
      </c>
      <c r="D1028" s="4">
        <v>14258580</v>
      </c>
      <c r="E1028" s="4">
        <v>387</v>
      </c>
      <c r="F1028" s="4" t="s">
        <v>1433</v>
      </c>
      <c r="G1028" s="4">
        <v>387</v>
      </c>
      <c r="H1028" s="4">
        <v>0</v>
      </c>
      <c r="I1028" s="4">
        <v>0</v>
      </c>
      <c r="J1028" s="4"/>
      <c r="K1028" s="4"/>
      <c r="L1028" s="4"/>
      <c r="M1028" s="4"/>
      <c r="N1028" s="4"/>
      <c r="O1028" s="4"/>
    </row>
    <row r="1029" spans="1:15" x14ac:dyDescent="0.3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</row>
    <row r="1030" spans="1:15" x14ac:dyDescent="0.3">
      <c r="A1030" s="4" t="s">
        <v>559</v>
      </c>
      <c r="B1030" s="4" t="s">
        <v>49</v>
      </c>
      <c r="C1030" s="4" t="s">
        <v>12</v>
      </c>
      <c r="D1030" s="4">
        <v>14259990</v>
      </c>
      <c r="E1030" s="4">
        <v>13</v>
      </c>
      <c r="F1030" s="4" t="s">
        <v>1433</v>
      </c>
      <c r="G1030" s="4">
        <v>13</v>
      </c>
      <c r="H1030" s="4">
        <v>0</v>
      </c>
      <c r="I1030" s="4">
        <v>0</v>
      </c>
      <c r="J1030" s="4"/>
      <c r="K1030" s="4"/>
      <c r="L1030" s="4"/>
      <c r="M1030" s="4"/>
      <c r="N1030" s="4"/>
      <c r="O1030" s="4"/>
    </row>
    <row r="1031" spans="1:15" x14ac:dyDescent="0.3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</row>
    <row r="1032" spans="1:15" x14ac:dyDescent="0.3">
      <c r="A1032" s="4" t="s">
        <v>560</v>
      </c>
      <c r="B1032" s="4" t="s">
        <v>49</v>
      </c>
      <c r="C1032" s="4" t="s">
        <v>12</v>
      </c>
      <c r="D1032" s="4">
        <v>14260068</v>
      </c>
      <c r="E1032" s="4">
        <v>83</v>
      </c>
      <c r="F1032" s="4" t="s">
        <v>1433</v>
      </c>
      <c r="G1032" s="4">
        <v>83</v>
      </c>
      <c r="H1032" s="4">
        <v>0</v>
      </c>
      <c r="I1032" s="4">
        <v>0</v>
      </c>
      <c r="J1032" s="4"/>
      <c r="K1032" s="4"/>
      <c r="L1032" s="4"/>
      <c r="M1032" s="4"/>
      <c r="N1032" s="4"/>
      <c r="O1032" s="4"/>
    </row>
    <row r="1033" spans="1:15" x14ac:dyDescent="0.3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</row>
    <row r="1034" spans="1:15" x14ac:dyDescent="0.3">
      <c r="A1034" s="4" t="s">
        <v>561</v>
      </c>
      <c r="B1034" s="4" t="s">
        <v>49</v>
      </c>
      <c r="C1034" s="4" t="s">
        <v>12</v>
      </c>
      <c r="D1034" s="4">
        <v>14260908</v>
      </c>
      <c r="E1034" s="4">
        <v>24</v>
      </c>
      <c r="F1034" s="4" t="s">
        <v>1433</v>
      </c>
      <c r="G1034" s="4">
        <v>24</v>
      </c>
      <c r="H1034" s="4">
        <v>0</v>
      </c>
      <c r="I1034" s="4">
        <v>0</v>
      </c>
      <c r="J1034" s="4"/>
      <c r="K1034" s="4"/>
      <c r="L1034" s="4"/>
      <c r="M1034" s="4"/>
      <c r="N1034" s="4"/>
      <c r="O1034" s="4"/>
    </row>
    <row r="1035" spans="1:15" x14ac:dyDescent="0.3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</row>
    <row r="1036" spans="1:15" x14ac:dyDescent="0.3">
      <c r="A1036" s="4" t="s">
        <v>562</v>
      </c>
      <c r="B1036" s="4" t="s">
        <v>49</v>
      </c>
      <c r="C1036" s="4" t="s">
        <v>12</v>
      </c>
      <c r="D1036" s="4">
        <v>14261280</v>
      </c>
      <c r="E1036" s="4">
        <v>100</v>
      </c>
      <c r="F1036" s="4" t="s">
        <v>1433</v>
      </c>
      <c r="G1036" s="4">
        <v>100</v>
      </c>
      <c r="H1036" s="4">
        <v>0</v>
      </c>
      <c r="I1036" s="4">
        <v>0</v>
      </c>
      <c r="J1036" s="4"/>
      <c r="K1036" s="4"/>
      <c r="L1036" s="4"/>
      <c r="M1036" s="4"/>
      <c r="N1036" s="4"/>
      <c r="O1036" s="4"/>
    </row>
    <row r="1037" spans="1:15" x14ac:dyDescent="0.3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</row>
    <row r="1038" spans="1:15" x14ac:dyDescent="0.3">
      <c r="A1038" s="4" t="s">
        <v>563</v>
      </c>
      <c r="B1038" s="4" t="s">
        <v>49</v>
      </c>
      <c r="C1038" s="4" t="s">
        <v>12</v>
      </c>
      <c r="D1038" s="4">
        <v>14261988</v>
      </c>
      <c r="E1038" s="4">
        <v>114</v>
      </c>
      <c r="F1038" s="4" t="s">
        <v>1433</v>
      </c>
      <c r="G1038" s="4">
        <v>114</v>
      </c>
      <c r="H1038" s="4">
        <v>0</v>
      </c>
      <c r="I1038" s="4">
        <v>0</v>
      </c>
      <c r="J1038" s="4"/>
      <c r="K1038" s="4"/>
      <c r="L1038" s="4"/>
      <c r="M1038" s="4"/>
      <c r="N1038" s="4"/>
      <c r="O1038" s="4"/>
    </row>
    <row r="1039" spans="1:15" x14ac:dyDescent="0.3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</row>
    <row r="1040" spans="1:15" x14ac:dyDescent="0.3">
      <c r="A1040" s="4" t="s">
        <v>564</v>
      </c>
      <c r="B1040" s="4" t="s">
        <v>49</v>
      </c>
      <c r="C1040" s="4" t="s">
        <v>12</v>
      </c>
      <c r="D1040" s="4">
        <v>14262270</v>
      </c>
      <c r="E1040" s="4">
        <v>80</v>
      </c>
      <c r="F1040" s="4" t="s">
        <v>1433</v>
      </c>
      <c r="G1040" s="4">
        <v>80</v>
      </c>
      <c r="H1040" s="4">
        <v>0</v>
      </c>
      <c r="I1040" s="4">
        <v>0</v>
      </c>
      <c r="J1040" s="4"/>
      <c r="K1040" s="4"/>
      <c r="L1040" s="4"/>
      <c r="M1040" s="4"/>
      <c r="N1040" s="4"/>
      <c r="O1040" s="4"/>
    </row>
    <row r="1041" spans="1:15" x14ac:dyDescent="0.3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</row>
    <row r="1042" spans="1:15" x14ac:dyDescent="0.3">
      <c r="A1042" s="4" t="s">
        <v>565</v>
      </c>
      <c r="B1042" s="4" t="s">
        <v>49</v>
      </c>
      <c r="C1042" s="4" t="s">
        <v>12</v>
      </c>
      <c r="D1042" s="4">
        <v>14263524</v>
      </c>
      <c r="E1042" s="4">
        <v>114</v>
      </c>
      <c r="F1042" s="4" t="s">
        <v>1433</v>
      </c>
      <c r="G1042" s="4">
        <v>114</v>
      </c>
      <c r="H1042" s="4">
        <v>0</v>
      </c>
      <c r="I1042" s="4">
        <v>0</v>
      </c>
      <c r="J1042" s="4"/>
      <c r="K1042" s="4"/>
      <c r="L1042" s="4"/>
      <c r="M1042" s="4"/>
      <c r="N1042" s="4"/>
      <c r="O1042" s="4"/>
    </row>
    <row r="1043" spans="1:15" x14ac:dyDescent="0.3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</row>
    <row r="1044" spans="1:15" x14ac:dyDescent="0.3">
      <c r="A1044" s="4" t="s">
        <v>566</v>
      </c>
      <c r="B1044" s="4" t="s">
        <v>49</v>
      </c>
      <c r="C1044" s="4" t="s">
        <v>12</v>
      </c>
      <c r="D1044" s="4">
        <v>14264604</v>
      </c>
      <c r="E1044" s="4">
        <v>38</v>
      </c>
      <c r="F1044" s="4" t="s">
        <v>1433</v>
      </c>
      <c r="G1044" s="4">
        <v>38</v>
      </c>
      <c r="H1044" s="4">
        <v>0</v>
      </c>
      <c r="I1044" s="4">
        <v>0</v>
      </c>
      <c r="J1044" s="4"/>
      <c r="K1044" s="4"/>
      <c r="L1044" s="4"/>
      <c r="M1044" s="4"/>
      <c r="N1044" s="4"/>
      <c r="O1044" s="4"/>
    </row>
    <row r="1045" spans="1:15" x14ac:dyDescent="0.3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</row>
    <row r="1046" spans="1:15" x14ac:dyDescent="0.3">
      <c r="A1046" s="4" t="s">
        <v>567</v>
      </c>
      <c r="B1046" s="4" t="s">
        <v>49</v>
      </c>
      <c r="C1046" s="4" t="s">
        <v>12</v>
      </c>
      <c r="D1046" s="4">
        <v>14272098</v>
      </c>
      <c r="E1046" s="4">
        <v>20</v>
      </c>
      <c r="F1046" s="4" t="s">
        <v>1433</v>
      </c>
      <c r="G1046" s="4">
        <v>20</v>
      </c>
      <c r="H1046" s="4">
        <v>0</v>
      </c>
      <c r="I1046" s="4">
        <v>0</v>
      </c>
      <c r="J1046" s="4"/>
      <c r="K1046" s="4"/>
      <c r="L1046" s="4"/>
      <c r="M1046" s="4"/>
      <c r="N1046" s="4"/>
      <c r="O1046" s="4"/>
    </row>
    <row r="1047" spans="1:15" x14ac:dyDescent="0.3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</row>
    <row r="1048" spans="1:15" x14ac:dyDescent="0.3">
      <c r="A1048" s="4" t="s">
        <v>568</v>
      </c>
      <c r="B1048" s="4" t="s">
        <v>49</v>
      </c>
      <c r="C1048" s="4" t="s">
        <v>12</v>
      </c>
      <c r="D1048" s="4">
        <v>14272614</v>
      </c>
      <c r="E1048" s="4">
        <v>104</v>
      </c>
      <c r="F1048" s="4" t="s">
        <v>1433</v>
      </c>
      <c r="G1048" s="4">
        <v>104</v>
      </c>
      <c r="H1048" s="4">
        <v>0</v>
      </c>
      <c r="I1048" s="4">
        <v>0</v>
      </c>
      <c r="J1048" s="4"/>
      <c r="K1048" s="4"/>
      <c r="L1048" s="4"/>
      <c r="M1048" s="4"/>
      <c r="N1048" s="4"/>
      <c r="O1048" s="4"/>
    </row>
    <row r="1049" spans="1:15" x14ac:dyDescent="0.3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</row>
    <row r="1050" spans="1:15" x14ac:dyDescent="0.3">
      <c r="A1050" s="4" t="s">
        <v>569</v>
      </c>
      <c r="B1050" s="4" t="s">
        <v>49</v>
      </c>
      <c r="C1050" s="4" t="s">
        <v>12</v>
      </c>
      <c r="D1050" s="4">
        <v>14276586</v>
      </c>
      <c r="E1050" s="4">
        <v>33</v>
      </c>
      <c r="F1050" s="4" t="s">
        <v>1433</v>
      </c>
      <c r="G1050" s="4">
        <v>33</v>
      </c>
      <c r="H1050" s="4">
        <v>0</v>
      </c>
      <c r="I1050" s="4">
        <v>0</v>
      </c>
      <c r="J1050" s="4"/>
      <c r="K1050" s="4"/>
      <c r="L1050" s="4"/>
      <c r="M1050" s="4"/>
      <c r="N1050" s="4"/>
      <c r="O1050" s="4"/>
    </row>
    <row r="1051" spans="1:15" x14ac:dyDescent="0.3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</row>
    <row r="1052" spans="1:15" x14ac:dyDescent="0.3">
      <c r="A1052" s="4" t="s">
        <v>570</v>
      </c>
      <c r="B1052" s="4" t="s">
        <v>49</v>
      </c>
      <c r="C1052" s="4" t="s">
        <v>12</v>
      </c>
      <c r="D1052" s="4">
        <v>14277168</v>
      </c>
      <c r="E1052" s="4">
        <v>125</v>
      </c>
      <c r="F1052" s="4" t="s">
        <v>1433</v>
      </c>
      <c r="G1052" s="4">
        <v>125</v>
      </c>
      <c r="H1052" s="4">
        <v>0</v>
      </c>
      <c r="I1052" s="4">
        <v>0</v>
      </c>
      <c r="J1052" s="4"/>
      <c r="K1052" s="4"/>
      <c r="L1052" s="4"/>
      <c r="M1052" s="4"/>
      <c r="N1052" s="4"/>
      <c r="O1052" s="4"/>
    </row>
    <row r="1053" spans="1:15" x14ac:dyDescent="0.3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</row>
    <row r="1054" spans="1:15" x14ac:dyDescent="0.3">
      <c r="A1054" s="4" t="s">
        <v>571</v>
      </c>
      <c r="B1054" s="4" t="s">
        <v>49</v>
      </c>
      <c r="C1054" s="4" t="s">
        <v>12</v>
      </c>
      <c r="D1054" s="4">
        <v>14283666</v>
      </c>
      <c r="E1054" s="4">
        <v>42</v>
      </c>
      <c r="F1054" s="4" t="s">
        <v>1433</v>
      </c>
      <c r="G1054" s="4">
        <v>42</v>
      </c>
      <c r="H1054" s="4">
        <v>0</v>
      </c>
      <c r="I1054" s="4">
        <v>0</v>
      </c>
      <c r="J1054" s="4"/>
      <c r="K1054" s="4"/>
      <c r="L1054" s="4"/>
      <c r="M1054" s="4"/>
      <c r="N1054" s="4"/>
      <c r="O1054" s="4"/>
    </row>
    <row r="1055" spans="1:15" x14ac:dyDescent="0.3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</row>
    <row r="1056" spans="1:15" x14ac:dyDescent="0.3">
      <c r="A1056" s="4" t="s">
        <v>572</v>
      </c>
      <c r="B1056" s="4" t="s">
        <v>49</v>
      </c>
      <c r="C1056" s="4" t="s">
        <v>12</v>
      </c>
      <c r="D1056" s="4">
        <v>14286816</v>
      </c>
      <c r="E1056" s="4">
        <v>31</v>
      </c>
      <c r="F1056" s="4" t="s">
        <v>1433</v>
      </c>
      <c r="G1056" s="4">
        <v>31</v>
      </c>
      <c r="H1056" s="4">
        <v>0</v>
      </c>
      <c r="I1056" s="4">
        <v>0</v>
      </c>
      <c r="J1056" s="4"/>
      <c r="K1056" s="4"/>
      <c r="L1056" s="4"/>
      <c r="M1056" s="4"/>
      <c r="N1056" s="4"/>
      <c r="O1056" s="4"/>
    </row>
    <row r="1057" spans="1:15" x14ac:dyDescent="0.3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</row>
    <row r="1058" spans="1:15" x14ac:dyDescent="0.3">
      <c r="A1058" s="4" t="s">
        <v>573</v>
      </c>
      <c r="B1058" s="4" t="s">
        <v>49</v>
      </c>
      <c r="C1058" s="4" t="s">
        <v>12</v>
      </c>
      <c r="D1058" s="4">
        <v>14287908</v>
      </c>
      <c r="E1058" s="4">
        <v>150</v>
      </c>
      <c r="F1058" s="4" t="s">
        <v>1433</v>
      </c>
      <c r="G1058" s="4">
        <v>150</v>
      </c>
      <c r="H1058" s="4">
        <v>0</v>
      </c>
      <c r="I1058" s="4">
        <v>0</v>
      </c>
      <c r="J1058" s="4"/>
      <c r="K1058" s="4"/>
      <c r="L1058" s="4"/>
      <c r="M1058" s="4"/>
      <c r="N1058" s="4"/>
      <c r="O1058" s="4"/>
    </row>
    <row r="1059" spans="1:15" x14ac:dyDescent="0.3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</row>
    <row r="1060" spans="1:15" x14ac:dyDescent="0.3">
      <c r="A1060" s="4" t="s">
        <v>574</v>
      </c>
      <c r="B1060" s="4" t="s">
        <v>49</v>
      </c>
      <c r="C1060" s="4" t="s">
        <v>12</v>
      </c>
      <c r="D1060" s="4">
        <v>14288070</v>
      </c>
      <c r="E1060" s="4">
        <v>23</v>
      </c>
      <c r="F1060" s="4" t="s">
        <v>1433</v>
      </c>
      <c r="G1060" s="4">
        <v>23</v>
      </c>
      <c r="H1060" s="4">
        <v>0</v>
      </c>
      <c r="I1060" s="4">
        <v>0</v>
      </c>
      <c r="J1060" s="4"/>
      <c r="K1060" s="4"/>
      <c r="L1060" s="4"/>
      <c r="M1060" s="4"/>
      <c r="N1060" s="4"/>
      <c r="O1060" s="4"/>
    </row>
    <row r="1061" spans="1:15" x14ac:dyDescent="0.3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</row>
    <row r="1062" spans="1:15" x14ac:dyDescent="0.3">
      <c r="A1062" s="4" t="s">
        <v>575</v>
      </c>
      <c r="B1062" s="4" t="s">
        <v>49</v>
      </c>
      <c r="C1062" s="4" t="s">
        <v>12</v>
      </c>
      <c r="D1062" s="4">
        <v>14288106</v>
      </c>
      <c r="E1062" s="4">
        <v>27</v>
      </c>
      <c r="F1062" s="4" t="s">
        <v>1433</v>
      </c>
      <c r="G1062" s="4">
        <v>27</v>
      </c>
      <c r="H1062" s="4">
        <v>0</v>
      </c>
      <c r="I1062" s="4">
        <v>0</v>
      </c>
      <c r="J1062" s="4"/>
      <c r="K1062" s="4"/>
      <c r="L1062" s="4"/>
      <c r="M1062" s="4"/>
      <c r="N1062" s="4"/>
      <c r="O1062" s="4"/>
    </row>
    <row r="1063" spans="1:15" x14ac:dyDescent="0.3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</row>
    <row r="1064" spans="1:15" x14ac:dyDescent="0.3">
      <c r="A1064" s="4" t="s">
        <v>576</v>
      </c>
      <c r="B1064" s="4" t="s">
        <v>49</v>
      </c>
      <c r="C1064" s="4" t="s">
        <v>12</v>
      </c>
      <c r="D1064" s="4">
        <v>14288190</v>
      </c>
      <c r="E1064" s="4">
        <v>28</v>
      </c>
      <c r="F1064" s="4" t="s">
        <v>1433</v>
      </c>
      <c r="G1064" s="4">
        <v>28</v>
      </c>
      <c r="H1064" s="4">
        <v>0</v>
      </c>
      <c r="I1064" s="4">
        <v>0</v>
      </c>
      <c r="J1064" s="4"/>
      <c r="K1064" s="4"/>
      <c r="L1064" s="4"/>
      <c r="M1064" s="4"/>
      <c r="N1064" s="4"/>
      <c r="O1064" s="4"/>
    </row>
    <row r="1065" spans="1:15" x14ac:dyDescent="0.3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</row>
    <row r="1066" spans="1:15" x14ac:dyDescent="0.3">
      <c r="A1066" s="4" t="s">
        <v>577</v>
      </c>
      <c r="B1066" s="4" t="s">
        <v>49</v>
      </c>
      <c r="C1066" s="4" t="s">
        <v>12</v>
      </c>
      <c r="D1066" s="4">
        <v>14289390</v>
      </c>
      <c r="E1066" s="4">
        <v>138</v>
      </c>
      <c r="F1066" s="4" t="s">
        <v>1433</v>
      </c>
      <c r="G1066" s="4">
        <v>138</v>
      </c>
      <c r="H1066" s="4">
        <v>0</v>
      </c>
      <c r="I1066" s="4">
        <v>0</v>
      </c>
      <c r="J1066" s="4"/>
      <c r="K1066" s="4"/>
      <c r="L1066" s="4"/>
      <c r="M1066" s="4"/>
      <c r="N1066" s="4"/>
      <c r="O1066" s="4"/>
    </row>
    <row r="1067" spans="1:15" x14ac:dyDescent="0.3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</row>
    <row r="1068" spans="1:15" x14ac:dyDescent="0.3">
      <c r="A1068" s="4" t="s">
        <v>578</v>
      </c>
      <c r="B1068" s="4" t="s">
        <v>49</v>
      </c>
      <c r="C1068" s="4" t="s">
        <v>12</v>
      </c>
      <c r="D1068" s="4">
        <v>14289738</v>
      </c>
      <c r="E1068" s="4">
        <v>30</v>
      </c>
      <c r="F1068" s="4" t="s">
        <v>1433</v>
      </c>
      <c r="G1068" s="4">
        <v>30</v>
      </c>
      <c r="H1068" s="4">
        <v>0</v>
      </c>
      <c r="I1068" s="4">
        <v>0</v>
      </c>
      <c r="J1068" s="4"/>
      <c r="K1068" s="4"/>
      <c r="L1068" s="4"/>
      <c r="M1068" s="4"/>
      <c r="N1068" s="4"/>
      <c r="O1068" s="4"/>
    </row>
    <row r="1069" spans="1:15" x14ac:dyDescent="0.3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</row>
    <row r="1070" spans="1:15" x14ac:dyDescent="0.3">
      <c r="A1070" s="4" t="s">
        <v>579</v>
      </c>
      <c r="B1070" s="4" t="s">
        <v>49</v>
      </c>
      <c r="C1070" s="4" t="s">
        <v>12</v>
      </c>
      <c r="D1070" s="4">
        <v>14291712</v>
      </c>
      <c r="E1070" s="4">
        <v>95</v>
      </c>
      <c r="F1070" s="4" t="s">
        <v>1433</v>
      </c>
      <c r="G1070" s="4">
        <v>95</v>
      </c>
      <c r="H1070" s="4">
        <v>0</v>
      </c>
      <c r="I1070" s="4">
        <v>0</v>
      </c>
      <c r="J1070" s="4"/>
      <c r="K1070" s="4"/>
      <c r="L1070" s="4"/>
      <c r="M1070" s="4"/>
      <c r="N1070" s="4"/>
      <c r="O1070" s="4"/>
    </row>
    <row r="1071" spans="1:15" x14ac:dyDescent="0.3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</row>
    <row r="1072" spans="1:15" x14ac:dyDescent="0.3">
      <c r="A1072" s="4" t="s">
        <v>580</v>
      </c>
      <c r="B1072" s="4" t="s">
        <v>49</v>
      </c>
      <c r="C1072" s="4" t="s">
        <v>12</v>
      </c>
      <c r="D1072" s="4">
        <v>14293014</v>
      </c>
      <c r="E1072" s="4">
        <v>595</v>
      </c>
      <c r="F1072" s="4" t="s">
        <v>1433</v>
      </c>
      <c r="G1072" s="4">
        <v>595</v>
      </c>
      <c r="H1072" s="4">
        <v>0</v>
      </c>
      <c r="I1072" s="4">
        <v>0</v>
      </c>
      <c r="J1072" s="4"/>
      <c r="K1072" s="4"/>
      <c r="L1072" s="4"/>
      <c r="M1072" s="4"/>
      <c r="N1072" s="4"/>
      <c r="O1072" s="4"/>
    </row>
    <row r="1073" spans="1:15" x14ac:dyDescent="0.3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</row>
    <row r="1074" spans="1:15" x14ac:dyDescent="0.3">
      <c r="A1074" s="4" t="s">
        <v>581</v>
      </c>
      <c r="B1074" s="4" t="s">
        <v>49</v>
      </c>
      <c r="C1074" s="4" t="s">
        <v>12</v>
      </c>
      <c r="D1074" s="4">
        <v>14304036</v>
      </c>
      <c r="E1074" s="4">
        <v>29</v>
      </c>
      <c r="F1074" s="4" t="s">
        <v>1433</v>
      </c>
      <c r="G1074" s="4">
        <v>29</v>
      </c>
      <c r="H1074" s="4">
        <v>0</v>
      </c>
      <c r="I1074" s="4">
        <v>0</v>
      </c>
      <c r="J1074" s="4"/>
      <c r="K1074" s="4"/>
      <c r="L1074" s="4"/>
      <c r="M1074" s="4"/>
      <c r="N1074" s="4"/>
      <c r="O1074" s="4"/>
    </row>
    <row r="1075" spans="1:15" x14ac:dyDescent="0.3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</row>
    <row r="1076" spans="1:15" x14ac:dyDescent="0.3">
      <c r="A1076" s="4" t="s">
        <v>582</v>
      </c>
      <c r="B1076" s="4" t="s">
        <v>49</v>
      </c>
      <c r="C1076" s="4" t="s">
        <v>12</v>
      </c>
      <c r="D1076" s="4">
        <v>14304204</v>
      </c>
      <c r="E1076" s="4">
        <v>49</v>
      </c>
      <c r="F1076" s="4" t="s">
        <v>1433</v>
      </c>
      <c r="G1076" s="4">
        <v>49</v>
      </c>
      <c r="H1076" s="4">
        <v>0</v>
      </c>
      <c r="I1076" s="4">
        <v>0</v>
      </c>
      <c r="J1076" s="4"/>
      <c r="K1076" s="4"/>
      <c r="L1076" s="4"/>
      <c r="M1076" s="4"/>
      <c r="N1076" s="4"/>
      <c r="O1076" s="4"/>
    </row>
    <row r="1077" spans="1:15" x14ac:dyDescent="0.3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</row>
    <row r="1078" spans="1:15" x14ac:dyDescent="0.3">
      <c r="A1078" s="4" t="s">
        <v>583</v>
      </c>
      <c r="B1078" s="4" t="s">
        <v>49</v>
      </c>
      <c r="C1078" s="4" t="s">
        <v>12</v>
      </c>
      <c r="D1078" s="4">
        <v>14304342</v>
      </c>
      <c r="E1078" s="4">
        <v>21</v>
      </c>
      <c r="F1078" s="4" t="s">
        <v>1433</v>
      </c>
      <c r="G1078" s="4">
        <v>21</v>
      </c>
      <c r="H1078" s="4">
        <v>0</v>
      </c>
      <c r="I1078" s="4">
        <v>0</v>
      </c>
      <c r="J1078" s="4"/>
      <c r="K1078" s="4"/>
      <c r="L1078" s="4"/>
      <c r="M1078" s="4"/>
      <c r="N1078" s="4"/>
      <c r="O1078" s="4"/>
    </row>
    <row r="1079" spans="1:15" x14ac:dyDescent="0.3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</row>
    <row r="1080" spans="1:15" x14ac:dyDescent="0.3">
      <c r="A1080" s="4" t="s">
        <v>584</v>
      </c>
      <c r="B1080" s="4" t="s">
        <v>49</v>
      </c>
      <c r="C1080" s="4" t="s">
        <v>12</v>
      </c>
      <c r="D1080" s="4">
        <v>14304756</v>
      </c>
      <c r="E1080" s="4">
        <v>16</v>
      </c>
      <c r="F1080" s="4" t="s">
        <v>1433</v>
      </c>
      <c r="G1080" s="4">
        <v>16</v>
      </c>
      <c r="H1080" s="4">
        <v>0</v>
      </c>
      <c r="I1080" s="4">
        <v>0</v>
      </c>
      <c r="J1080" s="4"/>
      <c r="K1080" s="4"/>
      <c r="L1080" s="4"/>
      <c r="M1080" s="4"/>
      <c r="N1080" s="4"/>
      <c r="O1080" s="4"/>
    </row>
    <row r="1081" spans="1:15" x14ac:dyDescent="0.3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</row>
    <row r="1082" spans="1:15" x14ac:dyDescent="0.3">
      <c r="A1082" s="4" t="s">
        <v>585</v>
      </c>
      <c r="B1082" s="4" t="s">
        <v>49</v>
      </c>
      <c r="C1082" s="4" t="s">
        <v>12</v>
      </c>
      <c r="D1082" s="4">
        <v>14305074</v>
      </c>
      <c r="E1082" s="4">
        <v>17</v>
      </c>
      <c r="F1082" s="4" t="s">
        <v>1433</v>
      </c>
      <c r="G1082" s="4">
        <v>17</v>
      </c>
      <c r="H1082" s="4">
        <v>0</v>
      </c>
      <c r="I1082" s="4">
        <v>0</v>
      </c>
      <c r="J1082" s="4"/>
      <c r="K1082" s="4"/>
      <c r="L1082" s="4"/>
      <c r="M1082" s="4"/>
      <c r="N1082" s="4"/>
      <c r="O1082" s="4"/>
    </row>
    <row r="1083" spans="1:15" x14ac:dyDescent="0.3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</row>
    <row r="1084" spans="1:15" x14ac:dyDescent="0.3">
      <c r="A1084" s="4" t="s">
        <v>586</v>
      </c>
      <c r="B1084" s="4" t="s">
        <v>49</v>
      </c>
      <c r="C1084" s="4" t="s">
        <v>12</v>
      </c>
      <c r="D1084" s="4">
        <v>14305086</v>
      </c>
      <c r="E1084" s="4">
        <v>23</v>
      </c>
      <c r="F1084" s="4" t="s">
        <v>1433</v>
      </c>
      <c r="G1084" s="4">
        <v>23</v>
      </c>
      <c r="H1084" s="4">
        <v>0</v>
      </c>
      <c r="I1084" s="4">
        <v>0</v>
      </c>
      <c r="J1084" s="4"/>
      <c r="K1084" s="4"/>
      <c r="L1084" s="4"/>
      <c r="M1084" s="4"/>
      <c r="N1084" s="4"/>
      <c r="O1084" s="4"/>
    </row>
    <row r="1085" spans="1:15" x14ac:dyDescent="0.3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</row>
    <row r="1086" spans="1:15" x14ac:dyDescent="0.3">
      <c r="A1086" s="4" t="s">
        <v>587</v>
      </c>
      <c r="B1086" s="4" t="s">
        <v>49</v>
      </c>
      <c r="C1086" s="4" t="s">
        <v>12</v>
      </c>
      <c r="D1086" s="4">
        <v>14305788</v>
      </c>
      <c r="E1086" s="4">
        <v>57</v>
      </c>
      <c r="F1086" s="4" t="s">
        <v>1433</v>
      </c>
      <c r="G1086" s="4">
        <v>57</v>
      </c>
      <c r="H1086" s="4">
        <v>0</v>
      </c>
      <c r="I1086" s="4">
        <v>0</v>
      </c>
      <c r="J1086" s="4"/>
      <c r="K1086" s="4"/>
      <c r="L1086" s="4"/>
      <c r="M1086" s="4"/>
      <c r="N1086" s="4"/>
      <c r="O1086" s="4"/>
    </row>
    <row r="1087" spans="1:15" x14ac:dyDescent="0.3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</row>
    <row r="1088" spans="1:15" x14ac:dyDescent="0.3">
      <c r="A1088" s="4" t="s">
        <v>588</v>
      </c>
      <c r="B1088" s="4" t="s">
        <v>49</v>
      </c>
      <c r="C1088" s="4" t="s">
        <v>12</v>
      </c>
      <c r="D1088" s="4">
        <v>14307408</v>
      </c>
      <c r="E1088" s="4">
        <v>17</v>
      </c>
      <c r="F1088" s="4" t="s">
        <v>1433</v>
      </c>
      <c r="G1088" s="4">
        <v>17</v>
      </c>
      <c r="H1088" s="4">
        <v>0</v>
      </c>
      <c r="I1088" s="4">
        <v>0</v>
      </c>
      <c r="J1088" s="4"/>
      <c r="K1088" s="4"/>
      <c r="L1088" s="4"/>
      <c r="M1088" s="4"/>
      <c r="N1088" s="4"/>
      <c r="O1088" s="4"/>
    </row>
    <row r="1089" spans="1:15" x14ac:dyDescent="0.3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</row>
    <row r="1090" spans="1:15" x14ac:dyDescent="0.3">
      <c r="A1090" s="4" t="s">
        <v>589</v>
      </c>
      <c r="B1090" s="4" t="s">
        <v>49</v>
      </c>
      <c r="C1090" s="4" t="s">
        <v>12</v>
      </c>
      <c r="D1090" s="4">
        <v>14311686</v>
      </c>
      <c r="E1090" s="4">
        <v>7</v>
      </c>
      <c r="F1090" s="4" t="s">
        <v>1433</v>
      </c>
      <c r="G1090" s="4">
        <v>7</v>
      </c>
      <c r="H1090" s="4">
        <v>0</v>
      </c>
      <c r="I1090" s="4">
        <v>0</v>
      </c>
      <c r="J1090" s="4"/>
      <c r="K1090" s="4"/>
      <c r="L1090" s="4"/>
      <c r="M1090" s="4"/>
      <c r="N1090" s="4"/>
      <c r="O1090" s="4"/>
    </row>
    <row r="1091" spans="1:15" x14ac:dyDescent="0.3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</row>
    <row r="1092" spans="1:15" x14ac:dyDescent="0.3">
      <c r="A1092" s="4" t="s">
        <v>590</v>
      </c>
      <c r="B1092" s="4" t="s">
        <v>49</v>
      </c>
      <c r="C1092" s="4" t="s">
        <v>12</v>
      </c>
      <c r="D1092" s="4">
        <v>14313954</v>
      </c>
      <c r="E1092" s="4">
        <v>400</v>
      </c>
      <c r="F1092" s="4" t="s">
        <v>1433</v>
      </c>
      <c r="G1092" s="4">
        <v>400</v>
      </c>
      <c r="H1092" s="4">
        <v>0</v>
      </c>
      <c r="I1092" s="4">
        <v>0</v>
      </c>
      <c r="J1092" s="4"/>
      <c r="K1092" s="4"/>
      <c r="L1092" s="4"/>
      <c r="M1092" s="4"/>
      <c r="N1092" s="4"/>
      <c r="O1092" s="4"/>
    </row>
    <row r="1093" spans="1:15" x14ac:dyDescent="0.3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</row>
    <row r="1094" spans="1:15" x14ac:dyDescent="0.3">
      <c r="A1094" s="4" t="s">
        <v>591</v>
      </c>
      <c r="B1094" s="4" t="s">
        <v>49</v>
      </c>
      <c r="C1094" s="4" t="s">
        <v>12</v>
      </c>
      <c r="D1094" s="4">
        <v>14315760</v>
      </c>
      <c r="E1094" s="4">
        <v>20</v>
      </c>
      <c r="F1094" s="4" t="s">
        <v>1433</v>
      </c>
      <c r="G1094" s="4">
        <v>20</v>
      </c>
      <c r="H1094" s="4">
        <v>0</v>
      </c>
      <c r="I1094" s="4">
        <v>0</v>
      </c>
      <c r="J1094" s="4"/>
      <c r="K1094" s="4"/>
      <c r="L1094" s="4"/>
      <c r="M1094" s="4"/>
      <c r="N1094" s="4"/>
      <c r="O1094" s="4"/>
    </row>
    <row r="1095" spans="1:15" x14ac:dyDescent="0.3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</row>
    <row r="1096" spans="1:15" x14ac:dyDescent="0.3">
      <c r="A1096" s="4" t="s">
        <v>592</v>
      </c>
      <c r="B1096" s="4" t="s">
        <v>49</v>
      </c>
      <c r="C1096" s="4" t="s">
        <v>12</v>
      </c>
      <c r="D1096" s="4">
        <v>14316036</v>
      </c>
      <c r="E1096" s="4">
        <v>42</v>
      </c>
      <c r="F1096" s="4" t="s">
        <v>1433</v>
      </c>
      <c r="G1096" s="4">
        <v>42</v>
      </c>
      <c r="H1096" s="4">
        <v>0</v>
      </c>
      <c r="I1096" s="4">
        <v>0</v>
      </c>
      <c r="J1096" s="4"/>
      <c r="K1096" s="4"/>
      <c r="L1096" s="4"/>
      <c r="M1096" s="4"/>
      <c r="N1096" s="4"/>
      <c r="O1096" s="4"/>
    </row>
    <row r="1097" spans="1:15" x14ac:dyDescent="0.3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</row>
    <row r="1098" spans="1:15" x14ac:dyDescent="0.3">
      <c r="A1098" s="4" t="s">
        <v>593</v>
      </c>
      <c r="B1098" s="4" t="s">
        <v>49</v>
      </c>
      <c r="C1098" s="4" t="s">
        <v>12</v>
      </c>
      <c r="D1098" s="4">
        <v>14317398</v>
      </c>
      <c r="E1098" s="4">
        <v>92</v>
      </c>
      <c r="F1098" s="4" t="s">
        <v>1433</v>
      </c>
      <c r="G1098" s="4">
        <v>92</v>
      </c>
      <c r="H1098" s="4">
        <v>0</v>
      </c>
      <c r="I1098" s="4">
        <v>0</v>
      </c>
      <c r="J1098" s="4"/>
      <c r="K1098" s="4"/>
      <c r="L1098" s="4"/>
      <c r="M1098" s="4"/>
      <c r="N1098" s="4"/>
      <c r="O1098" s="4"/>
    </row>
    <row r="1099" spans="1:15" x14ac:dyDescent="0.3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</row>
    <row r="1100" spans="1:15" x14ac:dyDescent="0.3">
      <c r="A1100" s="4" t="s">
        <v>594</v>
      </c>
      <c r="B1100" s="4" t="s">
        <v>49</v>
      </c>
      <c r="C1100" s="4" t="s">
        <v>12</v>
      </c>
      <c r="D1100" s="4">
        <v>14329218</v>
      </c>
      <c r="E1100" s="4">
        <v>19</v>
      </c>
      <c r="F1100" s="4" t="s">
        <v>1433</v>
      </c>
      <c r="G1100" s="4">
        <v>19</v>
      </c>
      <c r="H1100" s="4">
        <v>0</v>
      </c>
      <c r="I1100" s="4">
        <v>0</v>
      </c>
      <c r="J1100" s="4"/>
      <c r="K1100" s="4"/>
      <c r="L1100" s="4"/>
      <c r="M1100" s="4"/>
      <c r="N1100" s="4"/>
      <c r="O1100" s="4"/>
    </row>
    <row r="1101" spans="1:15" x14ac:dyDescent="0.3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</row>
    <row r="1102" spans="1:15" x14ac:dyDescent="0.3">
      <c r="A1102" s="4" t="s">
        <v>595</v>
      </c>
      <c r="B1102" s="4" t="s">
        <v>49</v>
      </c>
      <c r="C1102" s="4" t="s">
        <v>12</v>
      </c>
      <c r="D1102" s="4">
        <v>14329722</v>
      </c>
      <c r="E1102" s="4">
        <v>30</v>
      </c>
      <c r="F1102" s="4" t="s">
        <v>1433</v>
      </c>
      <c r="G1102" s="4">
        <v>30</v>
      </c>
      <c r="H1102" s="4">
        <v>0</v>
      </c>
      <c r="I1102" s="4">
        <v>0</v>
      </c>
      <c r="J1102" s="4"/>
      <c r="K1102" s="4"/>
      <c r="L1102" s="4"/>
      <c r="M1102" s="4"/>
      <c r="N1102" s="4"/>
      <c r="O1102" s="4"/>
    </row>
    <row r="1103" spans="1:15" x14ac:dyDescent="0.3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</row>
    <row r="1104" spans="1:15" x14ac:dyDescent="0.3">
      <c r="A1104" s="4" t="s">
        <v>596</v>
      </c>
      <c r="B1104" s="4" t="s">
        <v>49</v>
      </c>
      <c r="C1104" s="4" t="s">
        <v>12</v>
      </c>
      <c r="D1104" s="4">
        <v>14330022</v>
      </c>
      <c r="E1104" s="4">
        <v>21</v>
      </c>
      <c r="F1104" s="4" t="s">
        <v>1433</v>
      </c>
      <c r="G1104" s="4">
        <v>21</v>
      </c>
      <c r="H1104" s="4">
        <v>0</v>
      </c>
      <c r="I1104" s="4">
        <v>0</v>
      </c>
      <c r="J1104" s="4"/>
      <c r="K1104" s="4"/>
      <c r="L1104" s="4"/>
      <c r="M1104" s="4"/>
      <c r="N1104" s="4"/>
      <c r="O1104" s="4"/>
    </row>
    <row r="1105" spans="1:15" x14ac:dyDescent="0.3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</row>
    <row r="1106" spans="1:15" x14ac:dyDescent="0.3">
      <c r="A1106" s="4" t="s">
        <v>597</v>
      </c>
      <c r="B1106" s="4" t="s">
        <v>49</v>
      </c>
      <c r="C1106" s="4" t="s">
        <v>12</v>
      </c>
      <c r="D1106" s="4">
        <v>14330952</v>
      </c>
      <c r="E1106" s="4">
        <v>4</v>
      </c>
      <c r="F1106" s="4" t="s">
        <v>1433</v>
      </c>
      <c r="G1106" s="4">
        <v>4</v>
      </c>
      <c r="H1106" s="4">
        <v>0</v>
      </c>
      <c r="I1106" s="4">
        <v>0</v>
      </c>
      <c r="J1106" s="4"/>
      <c r="K1106" s="4"/>
      <c r="L1106" s="4"/>
      <c r="M1106" s="4"/>
      <c r="N1106" s="4"/>
      <c r="O1106" s="4"/>
    </row>
    <row r="1107" spans="1:15" x14ac:dyDescent="0.3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</row>
    <row r="1108" spans="1:15" x14ac:dyDescent="0.3">
      <c r="A1108" s="4" t="s">
        <v>598</v>
      </c>
      <c r="B1108" s="4" t="s">
        <v>49</v>
      </c>
      <c r="C1108" s="4" t="s">
        <v>12</v>
      </c>
      <c r="D1108" s="4">
        <v>14333886</v>
      </c>
      <c r="E1108" s="4">
        <v>21</v>
      </c>
      <c r="F1108" s="4" t="s">
        <v>1433</v>
      </c>
      <c r="G1108" s="4">
        <v>21</v>
      </c>
      <c r="H1108" s="4">
        <v>0</v>
      </c>
      <c r="I1108" s="4">
        <v>0</v>
      </c>
      <c r="J1108" s="4"/>
      <c r="K1108" s="4"/>
      <c r="L1108" s="4"/>
      <c r="M1108" s="4"/>
      <c r="N1108" s="4"/>
      <c r="O1108" s="4"/>
    </row>
    <row r="1109" spans="1:15" x14ac:dyDescent="0.3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</row>
    <row r="1110" spans="1:15" x14ac:dyDescent="0.3">
      <c r="A1110" s="4" t="s">
        <v>599</v>
      </c>
      <c r="B1110" s="4" t="s">
        <v>49</v>
      </c>
      <c r="C1110" s="4" t="s">
        <v>12</v>
      </c>
      <c r="D1110" s="4">
        <v>14338452</v>
      </c>
      <c r="E1110" s="4">
        <v>77</v>
      </c>
      <c r="F1110" s="4" t="s">
        <v>1433</v>
      </c>
      <c r="G1110" s="4">
        <v>77</v>
      </c>
      <c r="H1110" s="4">
        <v>0</v>
      </c>
      <c r="I1110" s="4">
        <v>0</v>
      </c>
      <c r="J1110" s="4"/>
      <c r="K1110" s="4"/>
      <c r="L1110" s="4"/>
      <c r="M1110" s="4"/>
      <c r="N1110" s="4"/>
      <c r="O1110" s="4"/>
    </row>
    <row r="1111" spans="1:15" x14ac:dyDescent="0.3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</row>
    <row r="1112" spans="1:15" x14ac:dyDescent="0.3">
      <c r="A1112" s="4" t="s">
        <v>600</v>
      </c>
      <c r="B1112" s="4" t="s">
        <v>49</v>
      </c>
      <c r="C1112" s="4" t="s">
        <v>12</v>
      </c>
      <c r="D1112" s="4">
        <v>14338764</v>
      </c>
      <c r="E1112" s="4">
        <v>8</v>
      </c>
      <c r="F1112" s="4" t="s">
        <v>1433</v>
      </c>
      <c r="G1112" s="4">
        <v>8</v>
      </c>
      <c r="H1112" s="4">
        <v>0</v>
      </c>
      <c r="I1112" s="4">
        <v>0</v>
      </c>
      <c r="J1112" s="4"/>
      <c r="K1112" s="4"/>
      <c r="L1112" s="4"/>
      <c r="M1112" s="4"/>
      <c r="N1112" s="4"/>
      <c r="O1112" s="4"/>
    </row>
    <row r="1113" spans="1:15" x14ac:dyDescent="0.3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</row>
    <row r="1114" spans="1:15" x14ac:dyDescent="0.3">
      <c r="A1114" s="4" t="s">
        <v>601</v>
      </c>
      <c r="B1114" s="4" t="s">
        <v>49</v>
      </c>
      <c r="C1114" s="4" t="s">
        <v>12</v>
      </c>
      <c r="D1114" s="4">
        <v>14340534</v>
      </c>
      <c r="E1114" s="4">
        <v>5</v>
      </c>
      <c r="F1114" s="4" t="s">
        <v>1433</v>
      </c>
      <c r="G1114" s="4">
        <v>5</v>
      </c>
      <c r="H1114" s="4">
        <v>0</v>
      </c>
      <c r="I1114" s="4">
        <v>0</v>
      </c>
      <c r="J1114" s="4"/>
      <c r="K1114" s="4"/>
      <c r="L1114" s="4"/>
      <c r="M1114" s="4"/>
      <c r="N1114" s="4"/>
      <c r="O1114" s="4"/>
    </row>
    <row r="1115" spans="1:15" x14ac:dyDescent="0.3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</row>
    <row r="1116" spans="1:15" x14ac:dyDescent="0.3">
      <c r="A1116" s="4" t="s">
        <v>602</v>
      </c>
      <c r="B1116" s="4" t="s">
        <v>49</v>
      </c>
      <c r="C1116" s="4" t="s">
        <v>12</v>
      </c>
      <c r="D1116" s="4">
        <v>14341494</v>
      </c>
      <c r="E1116" s="4">
        <v>380</v>
      </c>
      <c r="F1116" s="4" t="s">
        <v>1433</v>
      </c>
      <c r="G1116" s="4">
        <v>380</v>
      </c>
      <c r="H1116" s="4">
        <v>0</v>
      </c>
      <c r="I1116" s="4">
        <v>0</v>
      </c>
      <c r="J1116" s="4"/>
      <c r="K1116" s="4"/>
      <c r="L1116" s="4"/>
      <c r="M1116" s="4"/>
      <c r="N1116" s="4"/>
      <c r="O1116" s="4"/>
    </row>
    <row r="1117" spans="1:15" x14ac:dyDescent="0.3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</row>
    <row r="1118" spans="1:15" x14ac:dyDescent="0.3">
      <c r="A1118" s="4" t="s">
        <v>603</v>
      </c>
      <c r="B1118" s="4" t="s">
        <v>49</v>
      </c>
      <c r="C1118" s="4" t="s">
        <v>12</v>
      </c>
      <c r="D1118" s="4">
        <v>14343942</v>
      </c>
      <c r="E1118" s="4">
        <v>3315</v>
      </c>
      <c r="F1118" s="4" t="s">
        <v>1433</v>
      </c>
      <c r="G1118" s="4">
        <v>3315</v>
      </c>
      <c r="H1118" s="4">
        <v>0</v>
      </c>
      <c r="I1118" s="4">
        <v>0</v>
      </c>
      <c r="J1118" s="4"/>
      <c r="K1118" s="4"/>
      <c r="L1118" s="4"/>
      <c r="M1118" s="4"/>
      <c r="N1118" s="4"/>
      <c r="O1118" s="4"/>
    </row>
    <row r="1119" spans="1:15" x14ac:dyDescent="0.3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</row>
    <row r="1120" spans="1:15" x14ac:dyDescent="0.3">
      <c r="A1120" s="4" t="s">
        <v>604</v>
      </c>
      <c r="B1120" s="4" t="s">
        <v>49</v>
      </c>
      <c r="C1120" s="4" t="s">
        <v>12</v>
      </c>
      <c r="D1120" s="4">
        <v>14344140</v>
      </c>
      <c r="E1120" s="4">
        <v>14</v>
      </c>
      <c r="F1120" s="4" t="s">
        <v>1433</v>
      </c>
      <c r="G1120" s="4">
        <v>14</v>
      </c>
      <c r="H1120" s="4">
        <v>0</v>
      </c>
      <c r="I1120" s="4">
        <v>0</v>
      </c>
      <c r="J1120" s="4"/>
      <c r="K1120" s="4"/>
      <c r="L1120" s="4"/>
      <c r="M1120" s="4"/>
      <c r="N1120" s="4"/>
      <c r="O1120" s="4"/>
    </row>
    <row r="1121" spans="1:15" x14ac:dyDescent="0.3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</row>
    <row r="1122" spans="1:15" x14ac:dyDescent="0.3">
      <c r="A1122" s="4" t="s">
        <v>605</v>
      </c>
      <c r="B1122" s="4" t="s">
        <v>49</v>
      </c>
      <c r="C1122" s="4" t="s">
        <v>12</v>
      </c>
      <c r="D1122" s="4">
        <v>14351934</v>
      </c>
      <c r="E1122" s="4">
        <v>55</v>
      </c>
      <c r="F1122" s="4" t="s">
        <v>1433</v>
      </c>
      <c r="G1122" s="4">
        <v>55</v>
      </c>
      <c r="H1122" s="4">
        <v>0</v>
      </c>
      <c r="I1122" s="4">
        <v>0</v>
      </c>
      <c r="J1122" s="4"/>
      <c r="K1122" s="4"/>
      <c r="L1122" s="4"/>
      <c r="M1122" s="4"/>
      <c r="N1122" s="4"/>
      <c r="O1122" s="4"/>
    </row>
    <row r="1123" spans="1:15" x14ac:dyDescent="0.3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</row>
    <row r="1124" spans="1:15" x14ac:dyDescent="0.3">
      <c r="A1124" s="4" t="s">
        <v>606</v>
      </c>
      <c r="B1124" s="4" t="s">
        <v>49</v>
      </c>
      <c r="C1124" s="4" t="s">
        <v>12</v>
      </c>
      <c r="D1124" s="4">
        <v>14352474</v>
      </c>
      <c r="E1124" s="4">
        <v>161</v>
      </c>
      <c r="F1124" s="4" t="s">
        <v>1433</v>
      </c>
      <c r="G1124" s="4">
        <v>161</v>
      </c>
      <c r="H1124" s="4">
        <v>0</v>
      </c>
      <c r="I1124" s="4">
        <v>0</v>
      </c>
      <c r="J1124" s="4"/>
      <c r="K1124" s="4"/>
      <c r="L1124" s="4"/>
      <c r="M1124" s="4"/>
      <c r="N1124" s="4"/>
      <c r="O1124" s="4"/>
    </row>
    <row r="1125" spans="1:15" x14ac:dyDescent="0.3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</row>
    <row r="1126" spans="1:15" x14ac:dyDescent="0.3">
      <c r="A1126" s="4" t="s">
        <v>607</v>
      </c>
      <c r="B1126" s="4" t="s">
        <v>49</v>
      </c>
      <c r="C1126" s="4" t="s">
        <v>12</v>
      </c>
      <c r="D1126" s="4">
        <v>14354694</v>
      </c>
      <c r="E1126" s="4">
        <v>13</v>
      </c>
      <c r="F1126" s="4" t="s">
        <v>1433</v>
      </c>
      <c r="G1126" s="4">
        <v>13</v>
      </c>
      <c r="H1126" s="4">
        <v>0</v>
      </c>
      <c r="I1126" s="4">
        <v>0</v>
      </c>
      <c r="J1126" s="4"/>
      <c r="K1126" s="4"/>
      <c r="L1126" s="4"/>
      <c r="M1126" s="4"/>
      <c r="N1126" s="4"/>
      <c r="O1126" s="4"/>
    </row>
    <row r="1127" spans="1:15" x14ac:dyDescent="0.3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</row>
    <row r="1128" spans="1:15" x14ac:dyDescent="0.3">
      <c r="A1128" s="4" t="s">
        <v>608</v>
      </c>
      <c r="B1128" s="4" t="s">
        <v>49</v>
      </c>
      <c r="C1128" s="4" t="s">
        <v>12</v>
      </c>
      <c r="D1128" s="4">
        <v>14358474</v>
      </c>
      <c r="E1128" s="4">
        <v>29</v>
      </c>
      <c r="F1128" s="4" t="s">
        <v>1433</v>
      </c>
      <c r="G1128" s="4">
        <v>29</v>
      </c>
      <c r="H1128" s="4">
        <v>0</v>
      </c>
      <c r="I1128" s="4">
        <v>0</v>
      </c>
      <c r="J1128" s="4"/>
      <c r="K1128" s="4"/>
      <c r="L1128" s="4"/>
      <c r="M1128" s="4"/>
      <c r="N1128" s="4"/>
      <c r="O1128" s="4"/>
    </row>
    <row r="1129" spans="1:15" x14ac:dyDescent="0.3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</row>
    <row r="1130" spans="1:15" x14ac:dyDescent="0.3">
      <c r="A1130" s="4" t="s">
        <v>609</v>
      </c>
      <c r="B1130" s="4" t="s">
        <v>49</v>
      </c>
      <c r="C1130" s="4" t="s">
        <v>12</v>
      </c>
      <c r="D1130" s="4">
        <v>14361330</v>
      </c>
      <c r="E1130" s="4">
        <v>715</v>
      </c>
      <c r="F1130" s="4" t="s">
        <v>1433</v>
      </c>
      <c r="G1130" s="4">
        <v>715</v>
      </c>
      <c r="H1130" s="4">
        <v>0</v>
      </c>
      <c r="I1130" s="4">
        <v>0</v>
      </c>
      <c r="J1130" s="4"/>
      <c r="K1130" s="4"/>
      <c r="L1130" s="4"/>
      <c r="M1130" s="4"/>
      <c r="N1130" s="4"/>
      <c r="O1130" s="4"/>
    </row>
    <row r="1131" spans="1:15" x14ac:dyDescent="0.3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</row>
    <row r="1132" spans="1:15" x14ac:dyDescent="0.3">
      <c r="A1132" s="4" t="s">
        <v>610</v>
      </c>
      <c r="B1132" s="4" t="s">
        <v>49</v>
      </c>
      <c r="C1132" s="4" t="s">
        <v>12</v>
      </c>
      <c r="D1132" s="4">
        <v>14362650</v>
      </c>
      <c r="E1132" s="4">
        <v>76</v>
      </c>
      <c r="F1132" s="4" t="s">
        <v>1433</v>
      </c>
      <c r="G1132" s="4">
        <v>76</v>
      </c>
      <c r="H1132" s="4">
        <v>0</v>
      </c>
      <c r="I1132" s="4">
        <v>0</v>
      </c>
      <c r="J1132" s="4"/>
      <c r="K1132" s="4"/>
      <c r="L1132" s="4"/>
      <c r="M1132" s="4"/>
      <c r="N1132" s="4"/>
      <c r="O1132" s="4"/>
    </row>
    <row r="1133" spans="1:15" x14ac:dyDescent="0.3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</row>
    <row r="1134" spans="1:15" x14ac:dyDescent="0.3">
      <c r="A1134" s="4" t="s">
        <v>611</v>
      </c>
      <c r="B1134" s="4" t="s">
        <v>49</v>
      </c>
      <c r="C1134" s="4" t="s">
        <v>12</v>
      </c>
      <c r="D1134" s="4">
        <v>14363076</v>
      </c>
      <c r="E1134" s="4">
        <v>15</v>
      </c>
      <c r="F1134" s="4" t="s">
        <v>1433</v>
      </c>
      <c r="G1134" s="4">
        <v>15</v>
      </c>
      <c r="H1134" s="4">
        <v>0</v>
      </c>
      <c r="I1134" s="4">
        <v>0</v>
      </c>
      <c r="J1134" s="4"/>
      <c r="K1134" s="4"/>
      <c r="L1134" s="4"/>
      <c r="M1134" s="4"/>
      <c r="N1134" s="4"/>
      <c r="O1134" s="4"/>
    </row>
    <row r="1135" spans="1:15" x14ac:dyDescent="0.3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</row>
    <row r="1136" spans="1:15" x14ac:dyDescent="0.3">
      <c r="A1136" s="4" t="s">
        <v>612</v>
      </c>
      <c r="B1136" s="4" t="s">
        <v>49</v>
      </c>
      <c r="C1136" s="4" t="s">
        <v>12</v>
      </c>
      <c r="D1136" s="4">
        <v>14363952</v>
      </c>
      <c r="E1136" s="4">
        <v>69</v>
      </c>
      <c r="F1136" s="4" t="s">
        <v>1433</v>
      </c>
      <c r="G1136" s="4">
        <v>69</v>
      </c>
      <c r="H1136" s="4">
        <v>0</v>
      </c>
      <c r="I1136" s="4">
        <v>0</v>
      </c>
      <c r="J1136" s="4"/>
      <c r="K1136" s="4"/>
      <c r="L1136" s="4"/>
      <c r="M1136" s="4"/>
      <c r="N1136" s="4"/>
      <c r="O1136" s="4"/>
    </row>
    <row r="1137" spans="1:15" x14ac:dyDescent="0.3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</row>
    <row r="1138" spans="1:15" x14ac:dyDescent="0.3">
      <c r="A1138" s="4" t="s">
        <v>613</v>
      </c>
      <c r="B1138" s="4" t="s">
        <v>49</v>
      </c>
      <c r="C1138" s="4" t="s">
        <v>12</v>
      </c>
      <c r="D1138" s="4">
        <v>14365320</v>
      </c>
      <c r="E1138" s="4">
        <v>28</v>
      </c>
      <c r="F1138" s="4" t="s">
        <v>1433</v>
      </c>
      <c r="G1138" s="4">
        <v>28</v>
      </c>
      <c r="H1138" s="4">
        <v>0</v>
      </c>
      <c r="I1138" s="4">
        <v>0</v>
      </c>
      <c r="J1138" s="4"/>
      <c r="K1138" s="4"/>
      <c r="L1138" s="4"/>
      <c r="M1138" s="4"/>
      <c r="N1138" s="4"/>
      <c r="O1138" s="4"/>
    </row>
    <row r="1139" spans="1:15" x14ac:dyDescent="0.3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</row>
    <row r="1140" spans="1:15" x14ac:dyDescent="0.3">
      <c r="A1140" s="4" t="s">
        <v>614</v>
      </c>
      <c r="B1140" s="4" t="s">
        <v>49</v>
      </c>
      <c r="C1140" s="4" t="s">
        <v>12</v>
      </c>
      <c r="D1140" s="4">
        <v>14365914</v>
      </c>
      <c r="E1140" s="4">
        <v>123</v>
      </c>
      <c r="F1140" s="4" t="s">
        <v>1433</v>
      </c>
      <c r="G1140" s="4">
        <v>123</v>
      </c>
      <c r="H1140" s="4">
        <v>0</v>
      </c>
      <c r="I1140" s="4">
        <v>0</v>
      </c>
      <c r="J1140" s="4"/>
      <c r="K1140" s="4"/>
      <c r="L1140" s="4"/>
      <c r="M1140" s="4"/>
      <c r="N1140" s="4"/>
      <c r="O1140" s="4"/>
    </row>
    <row r="1141" spans="1:15" x14ac:dyDescent="0.3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</row>
    <row r="1142" spans="1:15" x14ac:dyDescent="0.3">
      <c r="A1142" s="4" t="s">
        <v>615</v>
      </c>
      <c r="B1142" s="4" t="s">
        <v>49</v>
      </c>
      <c r="C1142" s="4" t="s">
        <v>12</v>
      </c>
      <c r="D1142" s="4">
        <v>14367870</v>
      </c>
      <c r="E1142" s="4">
        <v>119</v>
      </c>
      <c r="F1142" s="4" t="s">
        <v>1433</v>
      </c>
      <c r="G1142" s="4">
        <v>119</v>
      </c>
      <c r="H1142" s="4">
        <v>0</v>
      </c>
      <c r="I1142" s="4">
        <v>0</v>
      </c>
      <c r="J1142" s="4"/>
      <c r="K1142" s="4"/>
      <c r="L1142" s="4"/>
      <c r="M1142" s="4"/>
      <c r="N1142" s="4"/>
      <c r="O1142" s="4"/>
    </row>
    <row r="1143" spans="1:15" x14ac:dyDescent="0.3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</row>
    <row r="1144" spans="1:15" x14ac:dyDescent="0.3">
      <c r="A1144" s="4" t="s">
        <v>616</v>
      </c>
      <c r="B1144" s="4" t="s">
        <v>49</v>
      </c>
      <c r="C1144" s="4" t="s">
        <v>12</v>
      </c>
      <c r="D1144" s="4">
        <v>14369880</v>
      </c>
      <c r="E1144" s="4">
        <v>46</v>
      </c>
      <c r="F1144" s="4" t="s">
        <v>1433</v>
      </c>
      <c r="G1144" s="4">
        <v>46</v>
      </c>
      <c r="H1144" s="4">
        <v>0</v>
      </c>
      <c r="I1144" s="4">
        <v>0</v>
      </c>
      <c r="J1144" s="4"/>
      <c r="K1144" s="4"/>
      <c r="L1144" s="4"/>
      <c r="M1144" s="4"/>
      <c r="N1144" s="4"/>
      <c r="O1144" s="4"/>
    </row>
    <row r="1145" spans="1:15" x14ac:dyDescent="0.3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</row>
    <row r="1146" spans="1:15" x14ac:dyDescent="0.3">
      <c r="A1146" s="4" t="s">
        <v>617</v>
      </c>
      <c r="B1146" s="4" t="s">
        <v>49</v>
      </c>
      <c r="C1146" s="4" t="s">
        <v>12</v>
      </c>
      <c r="D1146" s="4">
        <v>14377320</v>
      </c>
      <c r="E1146" s="4">
        <v>247</v>
      </c>
      <c r="F1146" s="4" t="s">
        <v>1433</v>
      </c>
      <c r="G1146" s="4">
        <v>247</v>
      </c>
      <c r="H1146" s="4">
        <v>0</v>
      </c>
      <c r="I1146" s="4">
        <v>0</v>
      </c>
      <c r="J1146" s="4"/>
      <c r="K1146" s="4"/>
      <c r="L1146" s="4"/>
      <c r="M1146" s="4"/>
      <c r="N1146" s="4"/>
      <c r="O1146" s="4"/>
    </row>
    <row r="1147" spans="1:15" x14ac:dyDescent="0.3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</row>
    <row r="1148" spans="1:15" x14ac:dyDescent="0.3">
      <c r="A1148" s="4" t="s">
        <v>618</v>
      </c>
      <c r="B1148" s="4" t="s">
        <v>49</v>
      </c>
      <c r="C1148" s="4" t="s">
        <v>12</v>
      </c>
      <c r="D1148" s="4">
        <v>14378706</v>
      </c>
      <c r="E1148" s="4">
        <v>11</v>
      </c>
      <c r="F1148" s="4" t="s">
        <v>1433</v>
      </c>
      <c r="G1148" s="4">
        <v>11</v>
      </c>
      <c r="H1148" s="4">
        <v>0</v>
      </c>
      <c r="I1148" s="4">
        <v>0</v>
      </c>
      <c r="J1148" s="4"/>
      <c r="K1148" s="4"/>
      <c r="L1148" s="4"/>
      <c r="M1148" s="4"/>
      <c r="N1148" s="4"/>
      <c r="O1148" s="4"/>
    </row>
    <row r="1149" spans="1:15" x14ac:dyDescent="0.3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</row>
    <row r="1150" spans="1:15" x14ac:dyDescent="0.3">
      <c r="A1150" s="4" t="s">
        <v>619</v>
      </c>
      <c r="B1150" s="4" t="s">
        <v>49</v>
      </c>
      <c r="C1150" s="4" t="s">
        <v>12</v>
      </c>
      <c r="D1150" s="4">
        <v>14379366</v>
      </c>
      <c r="E1150" s="4">
        <v>8</v>
      </c>
      <c r="F1150" s="4" t="s">
        <v>1433</v>
      </c>
      <c r="G1150" s="4">
        <v>8</v>
      </c>
      <c r="H1150" s="4">
        <v>0</v>
      </c>
      <c r="I1150" s="4">
        <v>0</v>
      </c>
      <c r="J1150" s="4"/>
      <c r="K1150" s="4"/>
      <c r="L1150" s="4"/>
      <c r="M1150" s="4"/>
      <c r="N1150" s="4"/>
      <c r="O1150" s="4"/>
    </row>
    <row r="1151" spans="1:15" x14ac:dyDescent="0.3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</row>
    <row r="1152" spans="1:15" x14ac:dyDescent="0.3">
      <c r="A1152" s="4" t="s">
        <v>620</v>
      </c>
      <c r="B1152" s="4" t="s">
        <v>49</v>
      </c>
      <c r="C1152" s="4" t="s">
        <v>12</v>
      </c>
      <c r="D1152" s="4">
        <v>14379492</v>
      </c>
      <c r="E1152" s="4">
        <v>15</v>
      </c>
      <c r="F1152" s="4" t="s">
        <v>1433</v>
      </c>
      <c r="G1152" s="4">
        <v>15</v>
      </c>
      <c r="H1152" s="4">
        <v>0</v>
      </c>
      <c r="I1152" s="4">
        <v>0</v>
      </c>
      <c r="J1152" s="4"/>
      <c r="K1152" s="4"/>
      <c r="L1152" s="4"/>
      <c r="M1152" s="4"/>
      <c r="N1152" s="4"/>
      <c r="O1152" s="4"/>
    </row>
    <row r="1153" spans="1:15" x14ac:dyDescent="0.3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</row>
    <row r="1154" spans="1:15" x14ac:dyDescent="0.3">
      <c r="A1154" s="4" t="s">
        <v>621</v>
      </c>
      <c r="B1154" s="4" t="s">
        <v>49</v>
      </c>
      <c r="C1154" s="4" t="s">
        <v>12</v>
      </c>
      <c r="D1154" s="4">
        <v>14384232</v>
      </c>
      <c r="E1154" s="4">
        <v>17</v>
      </c>
      <c r="F1154" s="4" t="s">
        <v>1433</v>
      </c>
      <c r="G1154" s="4">
        <v>17</v>
      </c>
      <c r="H1154" s="4">
        <v>0</v>
      </c>
      <c r="I1154" s="4">
        <v>0</v>
      </c>
      <c r="J1154" s="4"/>
      <c r="K1154" s="4"/>
      <c r="L1154" s="4"/>
      <c r="M1154" s="4"/>
      <c r="N1154" s="4"/>
      <c r="O1154" s="4"/>
    </row>
    <row r="1155" spans="1:15" x14ac:dyDescent="0.3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</row>
    <row r="1156" spans="1:15" x14ac:dyDescent="0.3">
      <c r="A1156" s="4" t="s">
        <v>622</v>
      </c>
      <c r="B1156" s="4" t="s">
        <v>49</v>
      </c>
      <c r="C1156" s="4" t="s">
        <v>12</v>
      </c>
      <c r="D1156" s="4">
        <v>14387058</v>
      </c>
      <c r="E1156" s="4">
        <v>19</v>
      </c>
      <c r="F1156" s="4" t="s">
        <v>1433</v>
      </c>
      <c r="G1156" s="4">
        <v>19</v>
      </c>
      <c r="H1156" s="4">
        <v>0</v>
      </c>
      <c r="I1156" s="4">
        <v>0</v>
      </c>
      <c r="J1156" s="4"/>
      <c r="K1156" s="4"/>
      <c r="L1156" s="4"/>
      <c r="M1156" s="4"/>
      <c r="N1156" s="4"/>
      <c r="O1156" s="4"/>
    </row>
    <row r="1157" spans="1:15" x14ac:dyDescent="0.3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</row>
    <row r="1158" spans="1:15" x14ac:dyDescent="0.3">
      <c r="A1158" s="4" t="s">
        <v>623</v>
      </c>
      <c r="B1158" s="4" t="s">
        <v>49</v>
      </c>
      <c r="C1158" s="4" t="s">
        <v>12</v>
      </c>
      <c r="D1158" s="4">
        <v>14392680</v>
      </c>
      <c r="E1158" s="4">
        <v>891</v>
      </c>
      <c r="F1158" s="4" t="s">
        <v>1433</v>
      </c>
      <c r="G1158" s="4">
        <v>891</v>
      </c>
      <c r="H1158" s="4">
        <v>0</v>
      </c>
      <c r="I1158" s="4">
        <v>0</v>
      </c>
      <c r="J1158" s="4"/>
      <c r="K1158" s="4"/>
      <c r="L1158" s="4"/>
      <c r="M1158" s="4"/>
      <c r="N1158" s="4"/>
      <c r="O1158" s="4"/>
    </row>
    <row r="1159" spans="1:15" x14ac:dyDescent="0.3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</row>
    <row r="1160" spans="1:15" x14ac:dyDescent="0.3">
      <c r="A1160" s="4" t="s">
        <v>624</v>
      </c>
      <c r="B1160" s="4" t="s">
        <v>49</v>
      </c>
      <c r="C1160" s="4" t="s">
        <v>12</v>
      </c>
      <c r="D1160" s="4">
        <v>14394870</v>
      </c>
      <c r="E1160" s="4">
        <v>34</v>
      </c>
      <c r="F1160" s="4" t="s">
        <v>1433</v>
      </c>
      <c r="G1160" s="4">
        <v>34</v>
      </c>
      <c r="H1160" s="4">
        <v>0</v>
      </c>
      <c r="I1160" s="4">
        <v>0</v>
      </c>
      <c r="J1160" s="4"/>
      <c r="K1160" s="4"/>
      <c r="L1160" s="4"/>
      <c r="M1160" s="4"/>
      <c r="N1160" s="4"/>
      <c r="O1160" s="4"/>
    </row>
    <row r="1161" spans="1:15" x14ac:dyDescent="0.3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</row>
    <row r="1162" spans="1:15" x14ac:dyDescent="0.3">
      <c r="A1162" s="4" t="s">
        <v>625</v>
      </c>
      <c r="B1162" s="4" t="s">
        <v>49</v>
      </c>
      <c r="C1162" s="4" t="s">
        <v>12</v>
      </c>
      <c r="D1162" s="4">
        <v>14396988</v>
      </c>
      <c r="E1162" s="4">
        <v>188</v>
      </c>
      <c r="F1162" s="4" t="s">
        <v>1433</v>
      </c>
      <c r="G1162" s="4">
        <v>188</v>
      </c>
      <c r="H1162" s="4">
        <v>0</v>
      </c>
      <c r="I1162" s="4">
        <v>0</v>
      </c>
      <c r="J1162" s="4"/>
      <c r="K1162" s="4"/>
      <c r="L1162" s="4"/>
      <c r="M1162" s="4"/>
      <c r="N1162" s="4"/>
      <c r="O1162" s="4"/>
    </row>
    <row r="1163" spans="1:15" x14ac:dyDescent="0.3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</row>
    <row r="1164" spans="1:15" x14ac:dyDescent="0.3">
      <c r="A1164" s="4" t="s">
        <v>626</v>
      </c>
      <c r="B1164" s="4" t="s">
        <v>49</v>
      </c>
      <c r="C1164" s="4" t="s">
        <v>12</v>
      </c>
      <c r="D1164" s="4">
        <v>14398110</v>
      </c>
      <c r="E1164" s="4">
        <v>9</v>
      </c>
      <c r="F1164" s="4" t="s">
        <v>1433</v>
      </c>
      <c r="G1164" s="4">
        <v>9</v>
      </c>
      <c r="H1164" s="4">
        <v>0</v>
      </c>
      <c r="I1164" s="4">
        <v>0</v>
      </c>
      <c r="J1164" s="4"/>
      <c r="K1164" s="4"/>
      <c r="L1164" s="4"/>
      <c r="M1164" s="4"/>
      <c r="N1164" s="4"/>
      <c r="O1164" s="4"/>
    </row>
    <row r="1165" spans="1:15" x14ac:dyDescent="0.3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</row>
    <row r="1166" spans="1:15" x14ac:dyDescent="0.3">
      <c r="A1166" s="4" t="s">
        <v>627</v>
      </c>
      <c r="B1166" s="4" t="s">
        <v>49</v>
      </c>
      <c r="C1166" s="4" t="s">
        <v>12</v>
      </c>
      <c r="D1166" s="4">
        <v>14399562</v>
      </c>
      <c r="E1166" s="4">
        <v>34</v>
      </c>
      <c r="F1166" s="4" t="s">
        <v>1433</v>
      </c>
      <c r="G1166" s="4">
        <v>34</v>
      </c>
      <c r="H1166" s="4">
        <v>0</v>
      </c>
      <c r="I1166" s="4">
        <v>0</v>
      </c>
      <c r="J1166" s="4"/>
      <c r="K1166" s="4"/>
      <c r="L1166" s="4"/>
      <c r="M1166" s="4"/>
      <c r="N1166" s="4"/>
      <c r="O1166" s="4"/>
    </row>
    <row r="1167" spans="1:15" x14ac:dyDescent="0.3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</row>
    <row r="1168" spans="1:15" x14ac:dyDescent="0.3">
      <c r="A1168" s="4" t="s">
        <v>628</v>
      </c>
      <c r="B1168" s="4" t="s">
        <v>49</v>
      </c>
      <c r="C1168" s="4" t="s">
        <v>12</v>
      </c>
      <c r="D1168" s="4">
        <v>15631902</v>
      </c>
      <c r="E1168" s="4">
        <v>118</v>
      </c>
      <c r="F1168" s="4" t="s">
        <v>1433</v>
      </c>
      <c r="G1168" s="4">
        <v>118</v>
      </c>
      <c r="H1168" s="4">
        <v>0</v>
      </c>
      <c r="I1168" s="4">
        <v>0</v>
      </c>
      <c r="J1168" s="4"/>
      <c r="K1168" s="4"/>
      <c r="L1168" s="4"/>
      <c r="M1168" s="4"/>
      <c r="N1168" s="4"/>
      <c r="O1168" s="4"/>
    </row>
    <row r="1169" spans="1:15" x14ac:dyDescent="0.3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</row>
    <row r="1170" spans="1:15" x14ac:dyDescent="0.3">
      <c r="A1170" s="4" t="s">
        <v>629</v>
      </c>
      <c r="B1170" s="4" t="s">
        <v>49</v>
      </c>
      <c r="C1170" s="4" t="s">
        <v>12</v>
      </c>
      <c r="D1170" s="4">
        <v>15638094</v>
      </c>
      <c r="E1170" s="4">
        <v>89</v>
      </c>
      <c r="F1170" s="4" t="s">
        <v>1433</v>
      </c>
      <c r="G1170" s="4">
        <v>89</v>
      </c>
      <c r="H1170" s="4">
        <v>0</v>
      </c>
      <c r="I1170" s="4">
        <v>0</v>
      </c>
      <c r="J1170" s="4"/>
      <c r="K1170" s="4"/>
      <c r="L1170" s="4"/>
      <c r="M1170" s="4"/>
      <c r="N1170" s="4"/>
      <c r="O1170" s="4"/>
    </row>
    <row r="1171" spans="1:15" x14ac:dyDescent="0.3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</row>
    <row r="1172" spans="1:15" x14ac:dyDescent="0.3">
      <c r="A1172" s="4" t="s">
        <v>630</v>
      </c>
      <c r="B1172" s="4" t="s">
        <v>47</v>
      </c>
      <c r="C1172" s="4" t="s">
        <v>12</v>
      </c>
      <c r="D1172" s="4">
        <v>15664938</v>
      </c>
      <c r="E1172" s="4">
        <v>10734</v>
      </c>
      <c r="F1172" s="4" t="s">
        <v>1433</v>
      </c>
      <c r="G1172" s="4">
        <v>10734</v>
      </c>
      <c r="H1172" s="4">
        <v>0</v>
      </c>
      <c r="I1172" s="4">
        <v>0</v>
      </c>
      <c r="J1172" s="4"/>
      <c r="K1172" s="4"/>
      <c r="L1172" s="4"/>
      <c r="M1172" s="4"/>
      <c r="N1172" s="4"/>
      <c r="O1172" s="4"/>
    </row>
    <row r="1173" spans="1:15" x14ac:dyDescent="0.3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</row>
    <row r="1174" spans="1:15" x14ac:dyDescent="0.3">
      <c r="A1174" s="4" t="s">
        <v>631</v>
      </c>
      <c r="B1174" s="4" t="s">
        <v>49</v>
      </c>
      <c r="C1174" s="4" t="s">
        <v>12</v>
      </c>
      <c r="D1174" s="4">
        <v>15667260</v>
      </c>
      <c r="E1174" s="4">
        <v>9933</v>
      </c>
      <c r="F1174" s="4" t="s">
        <v>1433</v>
      </c>
      <c r="G1174" s="4">
        <v>9933</v>
      </c>
      <c r="H1174" s="4">
        <v>0</v>
      </c>
      <c r="I1174" s="4">
        <v>0</v>
      </c>
      <c r="J1174" s="4"/>
      <c r="K1174" s="4"/>
      <c r="L1174" s="4"/>
      <c r="M1174" s="4"/>
      <c r="N1174" s="4"/>
      <c r="O1174" s="4"/>
    </row>
    <row r="1175" spans="1:15" x14ac:dyDescent="0.3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</row>
    <row r="1176" spans="1:15" x14ac:dyDescent="0.3">
      <c r="A1176" s="4" t="s">
        <v>632</v>
      </c>
      <c r="B1176" s="4" t="s">
        <v>49</v>
      </c>
      <c r="C1176" s="4" t="s">
        <v>12</v>
      </c>
      <c r="D1176" s="4">
        <v>15684270</v>
      </c>
      <c r="E1176" s="4">
        <v>6235</v>
      </c>
      <c r="F1176" s="4" t="s">
        <v>1433</v>
      </c>
      <c r="G1176" s="4">
        <v>6235</v>
      </c>
      <c r="H1176" s="4">
        <v>0</v>
      </c>
      <c r="I1176" s="4">
        <v>0</v>
      </c>
      <c r="J1176" s="4"/>
      <c r="K1176" s="4"/>
      <c r="L1176" s="4"/>
      <c r="M1176" s="4"/>
      <c r="N1176" s="4"/>
      <c r="O1176" s="4"/>
    </row>
    <row r="1177" spans="1:15" x14ac:dyDescent="0.3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</row>
    <row r="1178" spans="1:15" x14ac:dyDescent="0.3">
      <c r="A1178" s="4" t="s">
        <v>633</v>
      </c>
      <c r="B1178" s="4" t="s">
        <v>49</v>
      </c>
      <c r="C1178" s="4" t="s">
        <v>12</v>
      </c>
      <c r="D1178" s="4">
        <v>15686346</v>
      </c>
      <c r="E1178" s="4">
        <v>547</v>
      </c>
      <c r="F1178" s="4" t="s">
        <v>1433</v>
      </c>
      <c r="G1178" s="4">
        <v>547</v>
      </c>
      <c r="H1178" s="4">
        <v>0</v>
      </c>
      <c r="I1178" s="4">
        <v>0</v>
      </c>
      <c r="J1178" s="4"/>
      <c r="K1178" s="4"/>
      <c r="L1178" s="4"/>
      <c r="M1178" s="4"/>
      <c r="N1178" s="4"/>
      <c r="O1178" s="4"/>
    </row>
    <row r="1179" spans="1:15" x14ac:dyDescent="0.3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</row>
    <row r="1180" spans="1:15" x14ac:dyDescent="0.3">
      <c r="A1180" s="4" t="s">
        <v>634</v>
      </c>
      <c r="B1180" s="4" t="s">
        <v>47</v>
      </c>
      <c r="C1180" s="4" t="s">
        <v>12</v>
      </c>
      <c r="D1180" s="4">
        <v>15701292</v>
      </c>
      <c r="E1180" s="4">
        <v>148714</v>
      </c>
      <c r="F1180" s="4" t="s">
        <v>1433</v>
      </c>
      <c r="G1180" s="4">
        <v>148714</v>
      </c>
      <c r="H1180" s="4">
        <v>0</v>
      </c>
      <c r="I1180" s="4">
        <v>0</v>
      </c>
      <c r="J1180" s="4"/>
      <c r="K1180" s="4"/>
      <c r="L1180" s="4"/>
      <c r="M1180" s="4"/>
      <c r="N1180" s="4"/>
      <c r="O1180" s="4"/>
    </row>
    <row r="1181" spans="1:15" x14ac:dyDescent="0.3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</row>
    <row r="1182" spans="1:15" x14ac:dyDescent="0.3">
      <c r="A1182" s="4" t="s">
        <v>635</v>
      </c>
      <c r="B1182" s="4" t="s">
        <v>49</v>
      </c>
      <c r="C1182" s="4" t="s">
        <v>12</v>
      </c>
      <c r="D1182" s="4">
        <v>15703392</v>
      </c>
      <c r="E1182" s="4">
        <v>1201</v>
      </c>
      <c r="F1182" s="4" t="s">
        <v>1433</v>
      </c>
      <c r="G1182" s="4">
        <v>1201</v>
      </c>
      <c r="H1182" s="4">
        <v>0</v>
      </c>
      <c r="I1182" s="4">
        <v>0</v>
      </c>
      <c r="J1182" s="4"/>
      <c r="K1182" s="4"/>
      <c r="L1182" s="4"/>
      <c r="M1182" s="4"/>
      <c r="N1182" s="4"/>
      <c r="O1182" s="4"/>
    </row>
    <row r="1183" spans="1:15" x14ac:dyDescent="0.3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</row>
    <row r="1184" spans="1:15" x14ac:dyDescent="0.3">
      <c r="A1184" s="4" t="s">
        <v>636</v>
      </c>
      <c r="B1184" s="4" t="s">
        <v>49</v>
      </c>
      <c r="C1184" s="4" t="s">
        <v>12</v>
      </c>
      <c r="D1184" s="4">
        <v>15703428</v>
      </c>
      <c r="E1184" s="4">
        <v>589</v>
      </c>
      <c r="F1184" s="4" t="s">
        <v>1433</v>
      </c>
      <c r="G1184" s="4">
        <v>589</v>
      </c>
      <c r="H1184" s="4">
        <v>0</v>
      </c>
      <c r="I1184" s="4">
        <v>0</v>
      </c>
      <c r="J1184" s="4"/>
      <c r="K1184" s="4"/>
      <c r="L1184" s="4"/>
      <c r="M1184" s="4"/>
      <c r="N1184" s="4"/>
      <c r="O1184" s="4"/>
    </row>
    <row r="1185" spans="1:15" x14ac:dyDescent="0.3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</row>
    <row r="1186" spans="1:15" x14ac:dyDescent="0.3">
      <c r="A1186" s="4" t="s">
        <v>637</v>
      </c>
      <c r="B1186" s="4" t="s">
        <v>49</v>
      </c>
      <c r="C1186" s="4" t="s">
        <v>12</v>
      </c>
      <c r="D1186" s="4">
        <v>15703512</v>
      </c>
      <c r="E1186" s="4">
        <v>487</v>
      </c>
      <c r="F1186" s="4" t="s">
        <v>1433</v>
      </c>
      <c r="G1186" s="4">
        <v>487</v>
      </c>
      <c r="H1186" s="4">
        <v>0</v>
      </c>
      <c r="I1186" s="4">
        <v>0</v>
      </c>
      <c r="J1186" s="4"/>
      <c r="K1186" s="4"/>
      <c r="L1186" s="4"/>
      <c r="M1186" s="4"/>
      <c r="N1186" s="4"/>
      <c r="O1186" s="4"/>
    </row>
    <row r="1187" spans="1:15" x14ac:dyDescent="0.3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</row>
    <row r="1188" spans="1:15" x14ac:dyDescent="0.3">
      <c r="A1188" s="4" t="s">
        <v>638</v>
      </c>
      <c r="B1188" s="4" t="s">
        <v>49</v>
      </c>
      <c r="C1188" s="4" t="s">
        <v>12</v>
      </c>
      <c r="D1188" s="4">
        <v>15709986</v>
      </c>
      <c r="E1188" s="4">
        <v>930</v>
      </c>
      <c r="F1188" s="4" t="s">
        <v>1433</v>
      </c>
      <c r="G1188" s="4">
        <v>930</v>
      </c>
      <c r="H1188" s="4">
        <v>0</v>
      </c>
      <c r="I1188" s="4">
        <v>0</v>
      </c>
      <c r="J1188" s="4"/>
      <c r="K1188" s="4"/>
      <c r="L1188" s="4"/>
      <c r="M1188" s="4"/>
      <c r="N1188" s="4"/>
      <c r="O1188" s="4"/>
    </row>
    <row r="1189" spans="1:15" x14ac:dyDescent="0.3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</row>
    <row r="1190" spans="1:15" x14ac:dyDescent="0.3">
      <c r="A1190" s="4" t="s">
        <v>639</v>
      </c>
      <c r="B1190" s="4" t="s">
        <v>49</v>
      </c>
      <c r="C1190" s="4" t="s">
        <v>12</v>
      </c>
      <c r="D1190" s="4">
        <v>15718602</v>
      </c>
      <c r="E1190" s="4">
        <v>4</v>
      </c>
      <c r="F1190" s="4" t="s">
        <v>1433</v>
      </c>
      <c r="G1190" s="4">
        <v>4</v>
      </c>
      <c r="H1190" s="4">
        <v>0</v>
      </c>
      <c r="I1190" s="4">
        <v>0</v>
      </c>
      <c r="J1190" s="4"/>
      <c r="K1190" s="4"/>
      <c r="L1190" s="4"/>
      <c r="M1190" s="4"/>
      <c r="N1190" s="4"/>
      <c r="O1190" s="4"/>
    </row>
    <row r="1191" spans="1:15" x14ac:dyDescent="0.3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</row>
    <row r="1192" spans="1:15" x14ac:dyDescent="0.3">
      <c r="A1192" s="4" t="s">
        <v>640</v>
      </c>
      <c r="B1192" s="4" t="s">
        <v>49</v>
      </c>
      <c r="C1192" s="4" t="s">
        <v>12</v>
      </c>
      <c r="D1192" s="4">
        <v>15719826</v>
      </c>
      <c r="E1192" s="4">
        <v>1181</v>
      </c>
      <c r="F1192" s="4" t="s">
        <v>1433</v>
      </c>
      <c r="G1192" s="4">
        <v>1181</v>
      </c>
      <c r="H1192" s="4">
        <v>0</v>
      </c>
      <c r="I1192" s="4">
        <v>0</v>
      </c>
      <c r="J1192" s="4"/>
      <c r="K1192" s="4"/>
      <c r="L1192" s="4"/>
      <c r="M1192" s="4"/>
      <c r="N1192" s="4"/>
      <c r="O1192" s="4"/>
    </row>
    <row r="1193" spans="1:15" x14ac:dyDescent="0.3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</row>
    <row r="1194" spans="1:15" x14ac:dyDescent="0.3">
      <c r="A1194" s="4" t="s">
        <v>641</v>
      </c>
      <c r="B1194" s="4" t="s">
        <v>49</v>
      </c>
      <c r="C1194" s="4" t="s">
        <v>12</v>
      </c>
      <c r="D1194" s="4">
        <v>15722094</v>
      </c>
      <c r="E1194" s="4">
        <v>18</v>
      </c>
      <c r="F1194" s="4" t="s">
        <v>1433</v>
      </c>
      <c r="G1194" s="4">
        <v>18</v>
      </c>
      <c r="H1194" s="4">
        <v>0</v>
      </c>
      <c r="I1194" s="4">
        <v>0</v>
      </c>
      <c r="J1194" s="4"/>
      <c r="K1194" s="4"/>
      <c r="L1194" s="4"/>
      <c r="M1194" s="4"/>
      <c r="N1194" s="4"/>
      <c r="O1194" s="4"/>
    </row>
    <row r="1195" spans="1:15" x14ac:dyDescent="0.3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</row>
    <row r="1196" spans="1:15" x14ac:dyDescent="0.3">
      <c r="A1196" s="4" t="s">
        <v>642</v>
      </c>
      <c r="B1196" s="4" t="s">
        <v>49</v>
      </c>
      <c r="C1196" s="4" t="s">
        <v>12</v>
      </c>
      <c r="D1196" s="4">
        <v>15722964</v>
      </c>
      <c r="E1196" s="4">
        <v>646</v>
      </c>
      <c r="F1196" s="4" t="s">
        <v>1433</v>
      </c>
      <c r="G1196" s="4">
        <v>646</v>
      </c>
      <c r="H1196" s="4">
        <v>0</v>
      </c>
      <c r="I1196" s="4">
        <v>0</v>
      </c>
      <c r="J1196" s="4"/>
      <c r="K1196" s="4"/>
      <c r="L1196" s="4"/>
      <c r="M1196" s="4"/>
      <c r="N1196" s="4"/>
      <c r="O1196" s="4"/>
    </row>
    <row r="1197" spans="1:15" x14ac:dyDescent="0.3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</row>
    <row r="1198" spans="1:15" x14ac:dyDescent="0.3">
      <c r="A1198" s="4" t="s">
        <v>643</v>
      </c>
      <c r="B1198" s="4" t="s">
        <v>49</v>
      </c>
      <c r="C1198" s="4" t="s">
        <v>12</v>
      </c>
      <c r="D1198" s="4">
        <v>15723372</v>
      </c>
      <c r="E1198" s="4">
        <v>601</v>
      </c>
      <c r="F1198" s="4" t="s">
        <v>1433</v>
      </c>
      <c r="G1198" s="4">
        <v>601</v>
      </c>
      <c r="H1198" s="4">
        <v>0</v>
      </c>
      <c r="I1198" s="4">
        <v>0</v>
      </c>
      <c r="J1198" s="4"/>
      <c r="K1198" s="4"/>
      <c r="L1198" s="4"/>
      <c r="M1198" s="4"/>
      <c r="N1198" s="4"/>
      <c r="O1198" s="4"/>
    </row>
    <row r="1199" spans="1:15" x14ac:dyDescent="0.3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</row>
    <row r="1200" spans="1:15" x14ac:dyDescent="0.3">
      <c r="A1200" s="4" t="s">
        <v>644</v>
      </c>
      <c r="B1200" s="4" t="s">
        <v>49</v>
      </c>
      <c r="C1200" s="4" t="s">
        <v>12</v>
      </c>
      <c r="D1200" s="4">
        <v>15731304</v>
      </c>
      <c r="E1200" s="4">
        <v>3960</v>
      </c>
      <c r="F1200" s="4" t="s">
        <v>1433</v>
      </c>
      <c r="G1200" s="4">
        <v>3960</v>
      </c>
      <c r="H1200" s="4">
        <v>0</v>
      </c>
      <c r="I1200" s="4">
        <v>0</v>
      </c>
      <c r="J1200" s="4"/>
      <c r="K1200" s="4"/>
      <c r="L1200" s="4"/>
      <c r="M1200" s="4"/>
      <c r="N1200" s="4"/>
      <c r="O1200" s="4"/>
    </row>
    <row r="1201" spans="1:15" x14ac:dyDescent="0.3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</row>
    <row r="1202" spans="1:15" x14ac:dyDescent="0.3">
      <c r="A1202" s="4" t="s">
        <v>645</v>
      </c>
      <c r="B1202" s="4" t="s">
        <v>47</v>
      </c>
      <c r="C1202" s="4" t="s">
        <v>12</v>
      </c>
      <c r="D1202" s="4">
        <v>15747414</v>
      </c>
      <c r="E1202" s="4">
        <v>1060</v>
      </c>
      <c r="F1202" s="4" t="s">
        <v>1433</v>
      </c>
      <c r="G1202" s="4">
        <v>1060</v>
      </c>
      <c r="H1202" s="4">
        <v>0</v>
      </c>
      <c r="I1202" s="4">
        <v>0</v>
      </c>
      <c r="J1202" s="4"/>
      <c r="K1202" s="4"/>
      <c r="L1202" s="4"/>
      <c r="M1202" s="4"/>
      <c r="N1202" s="4"/>
      <c r="O1202" s="4"/>
    </row>
    <row r="1203" spans="1:15" x14ac:dyDescent="0.3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</row>
    <row r="1204" spans="1:15" x14ac:dyDescent="0.3">
      <c r="A1204" s="4" t="s">
        <v>646</v>
      </c>
      <c r="B1204" s="4" t="s">
        <v>49</v>
      </c>
      <c r="C1204" s="4" t="s">
        <v>12</v>
      </c>
      <c r="D1204" s="4">
        <v>15758262</v>
      </c>
      <c r="E1204" s="4">
        <v>1907</v>
      </c>
      <c r="F1204" s="4" t="s">
        <v>1433</v>
      </c>
      <c r="G1204" s="4">
        <v>1907</v>
      </c>
      <c r="H1204" s="4">
        <v>0</v>
      </c>
      <c r="I1204" s="4">
        <v>0</v>
      </c>
      <c r="J1204" s="4"/>
      <c r="K1204" s="4"/>
      <c r="L1204" s="4"/>
      <c r="M1204" s="4"/>
      <c r="N1204" s="4"/>
      <c r="O1204" s="4"/>
    </row>
    <row r="1205" spans="1:15" x14ac:dyDescent="0.3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</row>
    <row r="1206" spans="1:15" x14ac:dyDescent="0.3">
      <c r="A1206" s="4" t="s">
        <v>647</v>
      </c>
      <c r="B1206" s="4" t="s">
        <v>49</v>
      </c>
      <c r="C1206" s="4" t="s">
        <v>12</v>
      </c>
      <c r="D1206" s="4">
        <v>15759240</v>
      </c>
      <c r="E1206" s="4">
        <v>1180</v>
      </c>
      <c r="F1206" s="4" t="s">
        <v>1433</v>
      </c>
      <c r="G1206" s="4">
        <v>1180</v>
      </c>
      <c r="H1206" s="4">
        <v>0</v>
      </c>
      <c r="I1206" s="4">
        <v>0</v>
      </c>
      <c r="J1206" s="4"/>
      <c r="K1206" s="4"/>
      <c r="L1206" s="4"/>
      <c r="M1206" s="4"/>
      <c r="N1206" s="4"/>
      <c r="O1206" s="4"/>
    </row>
    <row r="1207" spans="1:15" x14ac:dyDescent="0.3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</row>
    <row r="1208" spans="1:15" x14ac:dyDescent="0.3">
      <c r="A1208" s="4" t="s">
        <v>648</v>
      </c>
      <c r="B1208" s="4" t="s">
        <v>49</v>
      </c>
      <c r="C1208" s="4" t="s">
        <v>12</v>
      </c>
      <c r="D1208" s="4">
        <v>15759246</v>
      </c>
      <c r="E1208" s="4">
        <v>922</v>
      </c>
      <c r="F1208" s="4" t="s">
        <v>1433</v>
      </c>
      <c r="G1208" s="4">
        <v>922</v>
      </c>
      <c r="H1208" s="4">
        <v>0</v>
      </c>
      <c r="I1208" s="4">
        <v>0</v>
      </c>
      <c r="J1208" s="4"/>
      <c r="K1208" s="4"/>
      <c r="L1208" s="4"/>
      <c r="M1208" s="4"/>
      <c r="N1208" s="4"/>
      <c r="O1208" s="4"/>
    </row>
    <row r="1209" spans="1:15" x14ac:dyDescent="0.3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</row>
    <row r="1210" spans="1:15" x14ac:dyDescent="0.3">
      <c r="A1210" s="4" t="s">
        <v>649</v>
      </c>
      <c r="B1210" s="4" t="s">
        <v>49</v>
      </c>
      <c r="C1210" s="4" t="s">
        <v>12</v>
      </c>
      <c r="D1210" s="4">
        <v>15759252</v>
      </c>
      <c r="E1210" s="4">
        <v>600</v>
      </c>
      <c r="F1210" s="4" t="s">
        <v>1433</v>
      </c>
      <c r="G1210" s="4">
        <v>600</v>
      </c>
      <c r="H1210" s="4">
        <v>0</v>
      </c>
      <c r="I1210" s="4">
        <v>0</v>
      </c>
      <c r="J1210" s="4"/>
      <c r="K1210" s="4"/>
      <c r="L1210" s="4"/>
      <c r="M1210" s="4"/>
      <c r="N1210" s="4"/>
      <c r="O1210" s="4"/>
    </row>
    <row r="1211" spans="1:15" x14ac:dyDescent="0.3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</row>
    <row r="1212" spans="1:15" x14ac:dyDescent="0.3">
      <c r="A1212" s="4" t="s">
        <v>650</v>
      </c>
      <c r="B1212" s="4" t="s">
        <v>49</v>
      </c>
      <c r="C1212" s="4" t="s">
        <v>12</v>
      </c>
      <c r="D1212" s="4">
        <v>15777912</v>
      </c>
      <c r="E1212" s="4">
        <v>290</v>
      </c>
      <c r="F1212" s="4" t="s">
        <v>1433</v>
      </c>
      <c r="G1212" s="4">
        <v>290</v>
      </c>
      <c r="H1212" s="4">
        <v>0</v>
      </c>
      <c r="I1212" s="4">
        <v>0</v>
      </c>
      <c r="J1212" s="4"/>
      <c r="K1212" s="4"/>
      <c r="L1212" s="4"/>
      <c r="M1212" s="4"/>
      <c r="N1212" s="4"/>
      <c r="O1212" s="4"/>
    </row>
    <row r="1213" spans="1:15" x14ac:dyDescent="0.3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</row>
    <row r="1214" spans="1:15" x14ac:dyDescent="0.3">
      <c r="A1214" s="4" t="s">
        <v>651</v>
      </c>
      <c r="B1214" s="4" t="s">
        <v>49</v>
      </c>
      <c r="C1214" s="4" t="s">
        <v>12</v>
      </c>
      <c r="D1214" s="4">
        <v>15784752</v>
      </c>
      <c r="E1214" s="4">
        <v>891</v>
      </c>
      <c r="F1214" s="4" t="s">
        <v>1433</v>
      </c>
      <c r="G1214" s="4">
        <v>891</v>
      </c>
      <c r="H1214" s="4">
        <v>0</v>
      </c>
      <c r="I1214" s="4">
        <v>0</v>
      </c>
      <c r="J1214" s="4"/>
      <c r="K1214" s="4"/>
      <c r="L1214" s="4"/>
      <c r="M1214" s="4"/>
      <c r="N1214" s="4"/>
      <c r="O1214" s="4"/>
    </row>
    <row r="1215" spans="1:15" x14ac:dyDescent="0.3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</row>
    <row r="1216" spans="1:15" x14ac:dyDescent="0.3">
      <c r="A1216" s="4" t="s">
        <v>652</v>
      </c>
      <c r="B1216" s="4" t="s">
        <v>49</v>
      </c>
      <c r="C1216" s="4" t="s">
        <v>12</v>
      </c>
      <c r="D1216" s="4">
        <v>15784788</v>
      </c>
      <c r="E1216" s="4">
        <v>678</v>
      </c>
      <c r="F1216" s="4" t="s">
        <v>1433</v>
      </c>
      <c r="G1216" s="4">
        <v>678</v>
      </c>
      <c r="H1216" s="4">
        <v>0</v>
      </c>
      <c r="I1216" s="4">
        <v>0</v>
      </c>
      <c r="J1216" s="4"/>
      <c r="K1216" s="4"/>
      <c r="L1216" s="4"/>
      <c r="M1216" s="4"/>
      <c r="N1216" s="4"/>
      <c r="O1216" s="4"/>
    </row>
    <row r="1217" spans="1:15" x14ac:dyDescent="0.3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</row>
    <row r="1218" spans="1:15" x14ac:dyDescent="0.3">
      <c r="A1218" s="4" t="s">
        <v>653</v>
      </c>
      <c r="B1218" s="4" t="s">
        <v>47</v>
      </c>
      <c r="C1218" s="4" t="s">
        <v>12</v>
      </c>
      <c r="D1218" s="4">
        <v>15800094</v>
      </c>
      <c r="E1218" s="4">
        <v>12420</v>
      </c>
      <c r="F1218" s="4" t="s">
        <v>1433</v>
      </c>
      <c r="G1218" s="4">
        <v>12420</v>
      </c>
      <c r="H1218" s="4">
        <v>0</v>
      </c>
      <c r="I1218" s="4">
        <v>0</v>
      </c>
      <c r="J1218" s="4"/>
      <c r="K1218" s="4"/>
      <c r="L1218" s="4"/>
      <c r="M1218" s="4"/>
      <c r="N1218" s="4"/>
      <c r="O1218" s="4"/>
    </row>
    <row r="1219" spans="1:15" x14ac:dyDescent="0.3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</row>
    <row r="1220" spans="1:15" x14ac:dyDescent="0.3">
      <c r="A1220" s="4" t="s">
        <v>654</v>
      </c>
      <c r="B1220" s="4" t="s">
        <v>49</v>
      </c>
      <c r="C1220" s="4" t="s">
        <v>12</v>
      </c>
      <c r="D1220" s="4">
        <v>15802620</v>
      </c>
      <c r="E1220" s="4">
        <v>623</v>
      </c>
      <c r="F1220" s="4" t="s">
        <v>1433</v>
      </c>
      <c r="G1220" s="4">
        <v>623</v>
      </c>
      <c r="H1220" s="4">
        <v>0</v>
      </c>
      <c r="I1220" s="4">
        <v>0</v>
      </c>
      <c r="J1220" s="4"/>
      <c r="K1220" s="4"/>
      <c r="L1220" s="4"/>
      <c r="M1220" s="4"/>
      <c r="N1220" s="4"/>
      <c r="O1220" s="4"/>
    </row>
    <row r="1221" spans="1:15" x14ac:dyDescent="0.3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</row>
    <row r="1222" spans="1:15" x14ac:dyDescent="0.3">
      <c r="A1222" s="4" t="s">
        <v>655</v>
      </c>
      <c r="B1222" s="4" t="s">
        <v>49</v>
      </c>
      <c r="C1222" s="4" t="s">
        <v>12</v>
      </c>
      <c r="D1222" s="4">
        <v>15817794</v>
      </c>
      <c r="E1222" s="4">
        <v>83</v>
      </c>
      <c r="F1222" s="4" t="s">
        <v>1433</v>
      </c>
      <c r="G1222" s="4">
        <v>83</v>
      </c>
      <c r="H1222" s="4">
        <v>0</v>
      </c>
      <c r="I1222" s="4">
        <v>0</v>
      </c>
      <c r="J1222" s="4"/>
      <c r="K1222" s="4"/>
      <c r="L1222" s="4"/>
      <c r="M1222" s="4"/>
      <c r="N1222" s="4"/>
      <c r="O1222" s="4"/>
    </row>
    <row r="1223" spans="1:15" x14ac:dyDescent="0.3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</row>
    <row r="1224" spans="1:15" x14ac:dyDescent="0.3">
      <c r="A1224" s="4" t="s">
        <v>656</v>
      </c>
      <c r="B1224" s="4" t="s">
        <v>49</v>
      </c>
      <c r="C1224" s="4" t="s">
        <v>12</v>
      </c>
      <c r="D1224" s="4">
        <v>15828288</v>
      </c>
      <c r="E1224" s="4">
        <v>40</v>
      </c>
      <c r="F1224" s="4" t="s">
        <v>1433</v>
      </c>
      <c r="G1224" s="4">
        <v>40</v>
      </c>
      <c r="H1224" s="4">
        <v>0</v>
      </c>
      <c r="I1224" s="4">
        <v>0</v>
      </c>
      <c r="J1224" s="4"/>
      <c r="K1224" s="4"/>
      <c r="L1224" s="4"/>
      <c r="M1224" s="4"/>
      <c r="N1224" s="4"/>
      <c r="O1224" s="4"/>
    </row>
    <row r="1225" spans="1:15" x14ac:dyDescent="0.3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</row>
    <row r="1226" spans="1:15" x14ac:dyDescent="0.3">
      <c r="A1226" s="4" t="s">
        <v>657</v>
      </c>
      <c r="B1226" s="4" t="s">
        <v>49</v>
      </c>
      <c r="C1226" s="4" t="s">
        <v>12</v>
      </c>
      <c r="D1226" s="4">
        <v>15830862</v>
      </c>
      <c r="E1226" s="4">
        <v>2852</v>
      </c>
      <c r="F1226" s="4" t="s">
        <v>1433</v>
      </c>
      <c r="G1226" s="4">
        <v>2852</v>
      </c>
      <c r="H1226" s="4">
        <v>0</v>
      </c>
      <c r="I1226" s="4">
        <v>0</v>
      </c>
      <c r="J1226" s="4"/>
      <c r="K1226" s="4"/>
      <c r="L1226" s="4"/>
      <c r="M1226" s="4"/>
      <c r="N1226" s="4"/>
      <c r="O1226" s="4"/>
    </row>
    <row r="1227" spans="1:15" x14ac:dyDescent="0.3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</row>
    <row r="1228" spans="1:15" x14ac:dyDescent="0.3">
      <c r="A1228" s="4" t="s">
        <v>658</v>
      </c>
      <c r="B1228" s="4" t="s">
        <v>49</v>
      </c>
      <c r="C1228" s="4" t="s">
        <v>12</v>
      </c>
      <c r="D1228" s="4">
        <v>15840216</v>
      </c>
      <c r="E1228" s="4">
        <v>424</v>
      </c>
      <c r="F1228" s="4" t="s">
        <v>1433</v>
      </c>
      <c r="G1228" s="4">
        <v>424</v>
      </c>
      <c r="H1228" s="4">
        <v>0</v>
      </c>
      <c r="I1228" s="4">
        <v>0</v>
      </c>
      <c r="J1228" s="4"/>
      <c r="K1228" s="4"/>
      <c r="L1228" s="4"/>
      <c r="M1228" s="4"/>
      <c r="N1228" s="4"/>
      <c r="O1228" s="4"/>
    </row>
    <row r="1229" spans="1:15" x14ac:dyDescent="0.3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</row>
    <row r="1230" spans="1:15" x14ac:dyDescent="0.3">
      <c r="A1230" s="4" t="s">
        <v>659</v>
      </c>
      <c r="B1230" s="4" t="s">
        <v>49</v>
      </c>
      <c r="C1230" s="4" t="s">
        <v>12</v>
      </c>
      <c r="D1230" s="4">
        <v>15841590</v>
      </c>
      <c r="E1230" s="4">
        <v>265</v>
      </c>
      <c r="F1230" s="4" t="s">
        <v>1433</v>
      </c>
      <c r="G1230" s="4">
        <v>265</v>
      </c>
      <c r="H1230" s="4">
        <v>0</v>
      </c>
      <c r="I1230" s="4">
        <v>0</v>
      </c>
      <c r="J1230" s="4"/>
      <c r="K1230" s="4"/>
      <c r="L1230" s="4"/>
      <c r="M1230" s="4"/>
      <c r="N1230" s="4"/>
      <c r="O1230" s="4"/>
    </row>
    <row r="1231" spans="1:15" x14ac:dyDescent="0.3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</row>
    <row r="1232" spans="1:15" x14ac:dyDescent="0.3">
      <c r="A1232" s="4" t="s">
        <v>660</v>
      </c>
      <c r="B1232" s="4" t="s">
        <v>49</v>
      </c>
      <c r="C1232" s="4" t="s">
        <v>12</v>
      </c>
      <c r="D1232" s="4">
        <v>15847866</v>
      </c>
      <c r="E1232" s="4">
        <v>5000</v>
      </c>
      <c r="F1232" s="4" t="s">
        <v>1433</v>
      </c>
      <c r="G1232" s="4">
        <v>5000</v>
      </c>
      <c r="H1232" s="4">
        <v>0</v>
      </c>
      <c r="I1232" s="4">
        <v>0</v>
      </c>
      <c r="J1232" s="4"/>
      <c r="K1232" s="4"/>
      <c r="L1232" s="4"/>
      <c r="M1232" s="4"/>
      <c r="N1232" s="4"/>
      <c r="O1232" s="4"/>
    </row>
    <row r="1233" spans="1:15" x14ac:dyDescent="0.3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</row>
    <row r="1234" spans="1:15" x14ac:dyDescent="0.3">
      <c r="A1234" s="4" t="s">
        <v>661</v>
      </c>
      <c r="B1234" s="4" t="s">
        <v>49</v>
      </c>
      <c r="C1234" s="4" t="s">
        <v>12</v>
      </c>
      <c r="D1234" s="4">
        <v>15849390</v>
      </c>
      <c r="E1234" s="4">
        <v>1531</v>
      </c>
      <c r="F1234" s="4" t="s">
        <v>1433</v>
      </c>
      <c r="G1234" s="4">
        <v>1531</v>
      </c>
      <c r="H1234" s="4">
        <v>0</v>
      </c>
      <c r="I1234" s="4">
        <v>0</v>
      </c>
      <c r="J1234" s="4"/>
      <c r="K1234" s="4"/>
      <c r="L1234" s="4"/>
      <c r="M1234" s="4"/>
      <c r="N1234" s="4"/>
      <c r="O1234" s="4"/>
    </row>
    <row r="1235" spans="1:15" x14ac:dyDescent="0.3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</row>
    <row r="1236" spans="1:15" x14ac:dyDescent="0.3">
      <c r="A1236" s="4" t="s">
        <v>662</v>
      </c>
      <c r="B1236" s="4" t="s">
        <v>49</v>
      </c>
      <c r="C1236" s="4" t="s">
        <v>12</v>
      </c>
      <c r="D1236" s="4">
        <v>15864732</v>
      </c>
      <c r="E1236" s="4">
        <v>4003</v>
      </c>
      <c r="F1236" s="4" t="s">
        <v>1433</v>
      </c>
      <c r="G1236" s="4">
        <v>4003</v>
      </c>
      <c r="H1236" s="4">
        <v>0</v>
      </c>
      <c r="I1236" s="4">
        <v>0</v>
      </c>
      <c r="J1236" s="4"/>
      <c r="K1236" s="4"/>
      <c r="L1236" s="4"/>
      <c r="M1236" s="4"/>
      <c r="N1236" s="4"/>
      <c r="O1236" s="4"/>
    </row>
    <row r="1237" spans="1:15" x14ac:dyDescent="0.3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</row>
    <row r="1238" spans="1:15" x14ac:dyDescent="0.3">
      <c r="A1238" s="4" t="s">
        <v>663</v>
      </c>
      <c r="B1238" s="4" t="s">
        <v>47</v>
      </c>
      <c r="C1238" s="4" t="s">
        <v>12</v>
      </c>
      <c r="D1238" s="4">
        <v>15879294</v>
      </c>
      <c r="E1238" s="4">
        <v>74743</v>
      </c>
      <c r="F1238" s="4" t="s">
        <v>1433</v>
      </c>
      <c r="G1238" s="4">
        <v>74743</v>
      </c>
      <c r="H1238" s="4">
        <v>0</v>
      </c>
      <c r="I1238" s="4">
        <v>0</v>
      </c>
      <c r="J1238" s="4"/>
      <c r="K1238" s="4"/>
      <c r="L1238" s="4"/>
      <c r="M1238" s="4"/>
      <c r="N1238" s="4"/>
      <c r="O1238" s="4"/>
    </row>
    <row r="1239" spans="1:15" x14ac:dyDescent="0.3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</row>
    <row r="1240" spans="1:15" x14ac:dyDescent="0.3">
      <c r="A1240" s="4" t="s">
        <v>664</v>
      </c>
      <c r="B1240" s="4" t="s">
        <v>47</v>
      </c>
      <c r="C1240" s="4" t="s">
        <v>12</v>
      </c>
      <c r="D1240" s="4">
        <v>15879438</v>
      </c>
      <c r="E1240" s="4">
        <v>4030</v>
      </c>
      <c r="F1240" s="4" t="s">
        <v>1433</v>
      </c>
      <c r="G1240" s="4">
        <v>4030</v>
      </c>
      <c r="H1240" s="4">
        <v>0</v>
      </c>
      <c r="I1240" s="4">
        <v>0</v>
      </c>
      <c r="J1240" s="4"/>
      <c r="K1240" s="4"/>
      <c r="L1240" s="4"/>
      <c r="M1240" s="4"/>
      <c r="N1240" s="4"/>
      <c r="O1240" s="4"/>
    </row>
    <row r="1241" spans="1:15" x14ac:dyDescent="0.3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</row>
    <row r="1242" spans="1:15" x14ac:dyDescent="0.3">
      <c r="A1242" s="4" t="s">
        <v>665</v>
      </c>
      <c r="B1242" s="4" t="s">
        <v>49</v>
      </c>
      <c r="C1242" s="4" t="s">
        <v>12</v>
      </c>
      <c r="D1242" s="4">
        <v>15886482</v>
      </c>
      <c r="E1242" s="4">
        <v>83</v>
      </c>
      <c r="F1242" s="4" t="s">
        <v>1433</v>
      </c>
      <c r="G1242" s="4">
        <v>83</v>
      </c>
      <c r="H1242" s="4">
        <v>0</v>
      </c>
      <c r="I1242" s="4">
        <v>0</v>
      </c>
      <c r="J1242" s="4"/>
      <c r="K1242" s="4"/>
      <c r="L1242" s="4"/>
      <c r="M1242" s="4"/>
      <c r="N1242" s="4"/>
      <c r="O1242" s="4"/>
    </row>
    <row r="1243" spans="1:15" x14ac:dyDescent="0.3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</row>
    <row r="1244" spans="1:15" x14ac:dyDescent="0.3">
      <c r="A1244" s="4" t="s">
        <v>666</v>
      </c>
      <c r="B1244" s="4" t="s">
        <v>49</v>
      </c>
      <c r="C1244" s="4" t="s">
        <v>12</v>
      </c>
      <c r="D1244" s="4">
        <v>15886632</v>
      </c>
      <c r="E1244" s="4">
        <v>2660</v>
      </c>
      <c r="F1244" s="4" t="s">
        <v>1433</v>
      </c>
      <c r="G1244" s="4">
        <v>2660</v>
      </c>
      <c r="H1244" s="4">
        <v>0</v>
      </c>
      <c r="I1244" s="4">
        <v>0</v>
      </c>
      <c r="J1244" s="4"/>
      <c r="K1244" s="4"/>
      <c r="L1244" s="4"/>
      <c r="M1244" s="4"/>
      <c r="N1244" s="4"/>
      <c r="O1244" s="4"/>
    </row>
    <row r="1245" spans="1:15" x14ac:dyDescent="0.3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</row>
    <row r="1246" spans="1:15" x14ac:dyDescent="0.3">
      <c r="A1246" s="4" t="s">
        <v>667</v>
      </c>
      <c r="B1246" s="4" t="s">
        <v>49</v>
      </c>
      <c r="C1246" s="4" t="s">
        <v>12</v>
      </c>
      <c r="D1246" s="4">
        <v>15886638</v>
      </c>
      <c r="E1246" s="4">
        <v>2969</v>
      </c>
      <c r="F1246" s="4" t="s">
        <v>1433</v>
      </c>
      <c r="G1246" s="4">
        <v>2969</v>
      </c>
      <c r="H1246" s="4">
        <v>0</v>
      </c>
      <c r="I1246" s="4">
        <v>0</v>
      </c>
      <c r="J1246" s="4"/>
      <c r="K1246" s="4"/>
      <c r="L1246" s="4"/>
      <c r="M1246" s="4"/>
      <c r="N1246" s="4"/>
      <c r="O1246" s="4"/>
    </row>
    <row r="1247" spans="1:15" x14ac:dyDescent="0.3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</row>
    <row r="1248" spans="1:15" x14ac:dyDescent="0.3">
      <c r="A1248" s="4" t="s">
        <v>668</v>
      </c>
      <c r="B1248" s="4" t="s">
        <v>49</v>
      </c>
      <c r="C1248" s="4" t="s">
        <v>12</v>
      </c>
      <c r="D1248" s="4">
        <v>15886644</v>
      </c>
      <c r="E1248" s="4">
        <v>3260</v>
      </c>
      <c r="F1248" s="4" t="s">
        <v>1433</v>
      </c>
      <c r="G1248" s="4">
        <v>3260</v>
      </c>
      <c r="H1248" s="4">
        <v>0</v>
      </c>
      <c r="I1248" s="4">
        <v>0</v>
      </c>
      <c r="J1248" s="4"/>
      <c r="K1248" s="4"/>
      <c r="L1248" s="4"/>
      <c r="M1248" s="4"/>
      <c r="N1248" s="4"/>
      <c r="O1248" s="4"/>
    </row>
    <row r="1249" spans="1:15" x14ac:dyDescent="0.3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</row>
    <row r="1250" spans="1:15" x14ac:dyDescent="0.3">
      <c r="A1250" s="4" t="s">
        <v>669</v>
      </c>
      <c r="B1250" s="4" t="s">
        <v>49</v>
      </c>
      <c r="C1250" s="4" t="s">
        <v>12</v>
      </c>
      <c r="D1250" s="4">
        <v>15889362</v>
      </c>
      <c r="E1250" s="4">
        <v>312</v>
      </c>
      <c r="F1250" s="4" t="s">
        <v>1433</v>
      </c>
      <c r="G1250" s="4">
        <v>312</v>
      </c>
      <c r="H1250" s="4">
        <v>0</v>
      </c>
      <c r="I1250" s="4">
        <v>0</v>
      </c>
      <c r="J1250" s="4"/>
      <c r="K1250" s="4"/>
      <c r="L1250" s="4"/>
      <c r="M1250" s="4"/>
      <c r="N1250" s="4"/>
      <c r="O1250" s="4"/>
    </row>
    <row r="1251" spans="1:15" x14ac:dyDescent="0.3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</row>
    <row r="1252" spans="1:15" x14ac:dyDescent="0.3">
      <c r="A1252" s="4" t="s">
        <v>670</v>
      </c>
      <c r="B1252" s="4" t="s">
        <v>49</v>
      </c>
      <c r="C1252" s="4" t="s">
        <v>12</v>
      </c>
      <c r="D1252" s="4">
        <v>15890616</v>
      </c>
      <c r="E1252" s="4">
        <v>1288</v>
      </c>
      <c r="F1252" s="4" t="s">
        <v>1433</v>
      </c>
      <c r="G1252" s="4">
        <v>1288</v>
      </c>
      <c r="H1252" s="4">
        <v>0</v>
      </c>
      <c r="I1252" s="4">
        <v>0</v>
      </c>
      <c r="J1252" s="4"/>
      <c r="K1252" s="4"/>
      <c r="L1252" s="4"/>
      <c r="M1252" s="4"/>
      <c r="N1252" s="4"/>
      <c r="O1252" s="4"/>
    </row>
    <row r="1253" spans="1:15" x14ac:dyDescent="0.3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</row>
    <row r="1254" spans="1:15" x14ac:dyDescent="0.3">
      <c r="A1254" s="4" t="s">
        <v>671</v>
      </c>
      <c r="B1254" s="4" t="s">
        <v>49</v>
      </c>
      <c r="C1254" s="4" t="s">
        <v>12</v>
      </c>
      <c r="D1254" s="4">
        <v>15898092</v>
      </c>
      <c r="E1254" s="4">
        <v>2653</v>
      </c>
      <c r="F1254" s="4" t="s">
        <v>1433</v>
      </c>
      <c r="G1254" s="4">
        <v>2653</v>
      </c>
      <c r="H1254" s="4">
        <v>0</v>
      </c>
      <c r="I1254" s="4">
        <v>0</v>
      </c>
      <c r="J1254" s="4"/>
      <c r="K1254" s="4"/>
      <c r="L1254" s="4"/>
      <c r="M1254" s="4"/>
      <c r="N1254" s="4"/>
      <c r="O1254" s="4"/>
    </row>
    <row r="1255" spans="1:15" x14ac:dyDescent="0.3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</row>
    <row r="1256" spans="1:15" x14ac:dyDescent="0.3">
      <c r="A1256" s="4" t="s">
        <v>672</v>
      </c>
      <c r="B1256" s="4" t="s">
        <v>49</v>
      </c>
      <c r="C1256" s="4" t="s">
        <v>12</v>
      </c>
      <c r="D1256" s="4">
        <v>15900594</v>
      </c>
      <c r="E1256" s="4">
        <v>85</v>
      </c>
      <c r="F1256" s="4" t="s">
        <v>1433</v>
      </c>
      <c r="G1256" s="4">
        <v>85</v>
      </c>
      <c r="H1256" s="4">
        <v>0</v>
      </c>
      <c r="I1256" s="4">
        <v>0</v>
      </c>
      <c r="J1256" s="4"/>
      <c r="K1256" s="4"/>
      <c r="L1256" s="4"/>
      <c r="M1256" s="4"/>
      <c r="N1256" s="4"/>
      <c r="O1256" s="4"/>
    </row>
    <row r="1257" spans="1:15" x14ac:dyDescent="0.3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</row>
    <row r="1258" spans="1:15" x14ac:dyDescent="0.3">
      <c r="A1258" s="4" t="s">
        <v>673</v>
      </c>
      <c r="B1258" s="4" t="s">
        <v>49</v>
      </c>
      <c r="C1258" s="4" t="s">
        <v>12</v>
      </c>
      <c r="D1258" s="4">
        <v>15901782</v>
      </c>
      <c r="E1258" s="4">
        <v>198</v>
      </c>
      <c r="F1258" s="4" t="s">
        <v>1433</v>
      </c>
      <c r="G1258" s="4">
        <v>198</v>
      </c>
      <c r="H1258" s="4">
        <v>0</v>
      </c>
      <c r="I1258" s="4">
        <v>0</v>
      </c>
      <c r="J1258" s="4"/>
      <c r="K1258" s="4"/>
      <c r="L1258" s="4"/>
      <c r="M1258" s="4"/>
      <c r="N1258" s="4"/>
      <c r="O1258" s="4"/>
    </row>
    <row r="1259" spans="1:15" x14ac:dyDescent="0.3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</row>
    <row r="1260" spans="1:15" x14ac:dyDescent="0.3">
      <c r="A1260" s="4" t="s">
        <v>674</v>
      </c>
      <c r="B1260" s="4" t="s">
        <v>49</v>
      </c>
      <c r="C1260" s="4" t="s">
        <v>12</v>
      </c>
      <c r="D1260" s="4">
        <v>15901806</v>
      </c>
      <c r="E1260" s="4">
        <v>735</v>
      </c>
      <c r="F1260" s="4" t="s">
        <v>1433</v>
      </c>
      <c r="G1260" s="4">
        <v>735</v>
      </c>
      <c r="H1260" s="4">
        <v>0</v>
      </c>
      <c r="I1260" s="4">
        <v>0</v>
      </c>
      <c r="J1260" s="4"/>
      <c r="K1260" s="4"/>
      <c r="L1260" s="4"/>
      <c r="M1260" s="4"/>
      <c r="N1260" s="4"/>
      <c r="O1260" s="4"/>
    </row>
    <row r="1261" spans="1:15" x14ac:dyDescent="0.3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</row>
    <row r="1262" spans="1:15" x14ac:dyDescent="0.3">
      <c r="A1262" s="4" t="s">
        <v>675</v>
      </c>
      <c r="B1262" s="4" t="s">
        <v>49</v>
      </c>
      <c r="C1262" s="4" t="s">
        <v>12</v>
      </c>
      <c r="D1262" s="4">
        <v>15904926</v>
      </c>
      <c r="E1262" s="4">
        <v>10206</v>
      </c>
      <c r="F1262" s="4" t="s">
        <v>1433</v>
      </c>
      <c r="G1262" s="4">
        <v>10206</v>
      </c>
      <c r="H1262" s="4">
        <v>0</v>
      </c>
      <c r="I1262" s="4">
        <v>0</v>
      </c>
      <c r="J1262" s="4"/>
      <c r="K1262" s="4"/>
      <c r="L1262" s="4"/>
      <c r="M1262" s="4"/>
      <c r="N1262" s="4"/>
      <c r="O1262" s="4"/>
    </row>
    <row r="1263" spans="1:15" x14ac:dyDescent="0.3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</row>
    <row r="1264" spans="1:15" x14ac:dyDescent="0.3">
      <c r="A1264" s="4" t="s">
        <v>676</v>
      </c>
      <c r="B1264" s="4" t="s">
        <v>49</v>
      </c>
      <c r="C1264" s="4" t="s">
        <v>12</v>
      </c>
      <c r="D1264" s="4">
        <v>15912228</v>
      </c>
      <c r="E1264" s="4">
        <v>1553</v>
      </c>
      <c r="F1264" s="4" t="s">
        <v>1433</v>
      </c>
      <c r="G1264" s="4">
        <v>1553</v>
      </c>
      <c r="H1264" s="4">
        <v>0</v>
      </c>
      <c r="I1264" s="4">
        <v>0</v>
      </c>
      <c r="J1264" s="4"/>
      <c r="K1264" s="4"/>
      <c r="L1264" s="4"/>
      <c r="M1264" s="4"/>
      <c r="N1264" s="4"/>
      <c r="O1264" s="4"/>
    </row>
    <row r="1265" spans="1:15" x14ac:dyDescent="0.3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</row>
    <row r="1266" spans="1:15" x14ac:dyDescent="0.3">
      <c r="A1266" s="4" t="s">
        <v>677</v>
      </c>
      <c r="B1266" s="4" t="s">
        <v>47</v>
      </c>
      <c r="C1266" s="4" t="s">
        <v>12</v>
      </c>
      <c r="D1266" s="4">
        <v>15922092</v>
      </c>
      <c r="E1266" s="4">
        <v>66589</v>
      </c>
      <c r="F1266" s="4" t="s">
        <v>1433</v>
      </c>
      <c r="G1266" s="4">
        <v>66589</v>
      </c>
      <c r="H1266" s="4">
        <v>0</v>
      </c>
      <c r="I1266" s="4">
        <v>0</v>
      </c>
      <c r="J1266" s="4"/>
      <c r="K1266" s="4"/>
      <c r="L1266" s="4"/>
      <c r="M1266" s="4"/>
      <c r="N1266" s="4"/>
      <c r="O1266" s="4"/>
    </row>
    <row r="1267" spans="1:15" x14ac:dyDescent="0.3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</row>
    <row r="1268" spans="1:15" x14ac:dyDescent="0.3">
      <c r="A1268" s="4" t="s">
        <v>678</v>
      </c>
      <c r="B1268" s="4" t="s">
        <v>49</v>
      </c>
      <c r="C1268" s="4" t="s">
        <v>12</v>
      </c>
      <c r="D1268" s="4">
        <v>15928518</v>
      </c>
      <c r="E1268" s="4">
        <v>79</v>
      </c>
      <c r="F1268" s="4" t="s">
        <v>1433</v>
      </c>
      <c r="G1268" s="4">
        <v>79</v>
      </c>
      <c r="H1268" s="4">
        <v>0</v>
      </c>
      <c r="I1268" s="4">
        <v>0</v>
      </c>
      <c r="J1268" s="4"/>
      <c r="K1268" s="4"/>
      <c r="L1268" s="4"/>
      <c r="M1268" s="4"/>
      <c r="N1268" s="4"/>
      <c r="O1268" s="4"/>
    </row>
    <row r="1269" spans="1:15" x14ac:dyDescent="0.3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</row>
    <row r="1270" spans="1:15" x14ac:dyDescent="0.3">
      <c r="A1270" s="4" t="s">
        <v>679</v>
      </c>
      <c r="B1270" s="4" t="s">
        <v>49</v>
      </c>
      <c r="C1270" s="4" t="s">
        <v>12</v>
      </c>
      <c r="D1270" s="4">
        <v>15929304</v>
      </c>
      <c r="E1270" s="4">
        <v>728</v>
      </c>
      <c r="F1270" s="4" t="s">
        <v>1433</v>
      </c>
      <c r="G1270" s="4">
        <v>728</v>
      </c>
      <c r="H1270" s="4">
        <v>0</v>
      </c>
      <c r="I1270" s="4">
        <v>0</v>
      </c>
      <c r="J1270" s="4"/>
      <c r="K1270" s="4"/>
      <c r="L1270" s="4"/>
      <c r="M1270" s="4"/>
      <c r="N1270" s="4"/>
      <c r="O1270" s="4"/>
    </row>
    <row r="1271" spans="1:15" x14ac:dyDescent="0.3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</row>
    <row r="1272" spans="1:15" x14ac:dyDescent="0.3">
      <c r="A1272" s="4" t="s">
        <v>680</v>
      </c>
      <c r="B1272" s="4" t="s">
        <v>49</v>
      </c>
      <c r="C1272" s="4" t="s">
        <v>12</v>
      </c>
      <c r="D1272" s="4">
        <v>15933732</v>
      </c>
      <c r="E1272" s="4">
        <v>22</v>
      </c>
      <c r="F1272" s="4" t="s">
        <v>1433</v>
      </c>
      <c r="G1272" s="4">
        <v>22</v>
      </c>
      <c r="H1272" s="4">
        <v>0</v>
      </c>
      <c r="I1272" s="4">
        <v>0</v>
      </c>
      <c r="J1272" s="4"/>
      <c r="K1272" s="4"/>
      <c r="L1272" s="4"/>
      <c r="M1272" s="4"/>
      <c r="N1272" s="4"/>
      <c r="O1272" s="4"/>
    </row>
    <row r="1273" spans="1:15" x14ac:dyDescent="0.3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</row>
    <row r="1274" spans="1:15" x14ac:dyDescent="0.3">
      <c r="A1274" s="4" t="s">
        <v>681</v>
      </c>
      <c r="B1274" s="4" t="s">
        <v>49</v>
      </c>
      <c r="C1274" s="4" t="s">
        <v>12</v>
      </c>
      <c r="D1274" s="4">
        <v>15936054</v>
      </c>
      <c r="E1274" s="4">
        <v>171</v>
      </c>
      <c r="F1274" s="4" t="s">
        <v>1433</v>
      </c>
      <c r="G1274" s="4">
        <v>171</v>
      </c>
      <c r="H1274" s="4">
        <v>0</v>
      </c>
      <c r="I1274" s="4">
        <v>0</v>
      </c>
      <c r="J1274" s="4"/>
      <c r="K1274" s="4"/>
      <c r="L1274" s="4"/>
      <c r="M1274" s="4"/>
      <c r="N1274" s="4"/>
      <c r="O1274" s="4"/>
    </row>
    <row r="1275" spans="1:15" x14ac:dyDescent="0.3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</row>
    <row r="1276" spans="1:15" x14ac:dyDescent="0.3">
      <c r="A1276" s="4" t="s">
        <v>682</v>
      </c>
      <c r="B1276" s="4" t="s">
        <v>49</v>
      </c>
      <c r="C1276" s="4" t="s">
        <v>12</v>
      </c>
      <c r="D1276" s="4">
        <v>15948240</v>
      </c>
      <c r="E1276" s="4">
        <v>606</v>
      </c>
      <c r="F1276" s="4" t="s">
        <v>1433</v>
      </c>
      <c r="G1276" s="4">
        <v>606</v>
      </c>
      <c r="H1276" s="4">
        <v>0</v>
      </c>
      <c r="I1276" s="4">
        <v>0</v>
      </c>
      <c r="J1276" s="4"/>
      <c r="K1276" s="4"/>
      <c r="L1276" s="4"/>
      <c r="M1276" s="4"/>
      <c r="N1276" s="4"/>
      <c r="O1276" s="4"/>
    </row>
    <row r="1277" spans="1:15" x14ac:dyDescent="0.3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</row>
    <row r="1278" spans="1:15" x14ac:dyDescent="0.3">
      <c r="A1278" s="4" t="s">
        <v>683</v>
      </c>
      <c r="B1278" s="4" t="s">
        <v>49</v>
      </c>
      <c r="C1278" s="4" t="s">
        <v>12</v>
      </c>
      <c r="D1278" s="4">
        <v>15953280</v>
      </c>
      <c r="E1278" s="4">
        <v>4</v>
      </c>
      <c r="F1278" s="4" t="s">
        <v>1433</v>
      </c>
      <c r="G1278" s="4">
        <v>4</v>
      </c>
      <c r="H1278" s="4">
        <v>0</v>
      </c>
      <c r="I1278" s="4">
        <v>0</v>
      </c>
      <c r="J1278" s="4"/>
      <c r="K1278" s="4"/>
      <c r="L1278" s="4"/>
      <c r="M1278" s="4"/>
      <c r="N1278" s="4"/>
      <c r="O1278" s="4"/>
    </row>
    <row r="1279" spans="1:15" x14ac:dyDescent="0.3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</row>
    <row r="1280" spans="1:15" x14ac:dyDescent="0.3">
      <c r="A1280" s="4" t="s">
        <v>684</v>
      </c>
      <c r="B1280" s="4" t="s">
        <v>49</v>
      </c>
      <c r="C1280" s="4" t="s">
        <v>12</v>
      </c>
      <c r="D1280" s="4">
        <v>15953292</v>
      </c>
      <c r="E1280" s="4">
        <v>20</v>
      </c>
      <c r="F1280" s="4" t="s">
        <v>1433</v>
      </c>
      <c r="G1280" s="4">
        <v>20</v>
      </c>
      <c r="H1280" s="4">
        <v>0</v>
      </c>
      <c r="I1280" s="4">
        <v>0</v>
      </c>
      <c r="J1280" s="4"/>
      <c r="K1280" s="4"/>
      <c r="L1280" s="4"/>
      <c r="M1280" s="4"/>
      <c r="N1280" s="4"/>
      <c r="O1280" s="4"/>
    </row>
    <row r="1281" spans="1:15" x14ac:dyDescent="0.3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</row>
    <row r="1282" spans="1:15" x14ac:dyDescent="0.3">
      <c r="A1282" s="4" t="s">
        <v>685</v>
      </c>
      <c r="B1282" s="4" t="s">
        <v>49</v>
      </c>
      <c r="C1282" s="4" t="s">
        <v>12</v>
      </c>
      <c r="D1282" s="4">
        <v>15953298</v>
      </c>
      <c r="E1282" s="4">
        <v>56</v>
      </c>
      <c r="F1282" s="4" t="s">
        <v>1433</v>
      </c>
      <c r="G1282" s="4">
        <v>56</v>
      </c>
      <c r="H1282" s="4">
        <v>0</v>
      </c>
      <c r="I1282" s="4">
        <v>0</v>
      </c>
      <c r="J1282" s="4"/>
      <c r="K1282" s="4"/>
      <c r="L1282" s="4"/>
      <c r="M1282" s="4"/>
      <c r="N1282" s="4"/>
      <c r="O1282" s="4"/>
    </row>
    <row r="1283" spans="1:15" x14ac:dyDescent="0.3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</row>
    <row r="1284" spans="1:15" x14ac:dyDescent="0.3">
      <c r="A1284" s="4" t="s">
        <v>686</v>
      </c>
      <c r="B1284" s="4" t="s">
        <v>49</v>
      </c>
      <c r="C1284" s="4" t="s">
        <v>12</v>
      </c>
      <c r="D1284" s="4">
        <v>15955662</v>
      </c>
      <c r="E1284" s="4">
        <v>125</v>
      </c>
      <c r="F1284" s="4" t="s">
        <v>1433</v>
      </c>
      <c r="G1284" s="4">
        <v>125</v>
      </c>
      <c r="H1284" s="4">
        <v>0</v>
      </c>
      <c r="I1284" s="4">
        <v>0</v>
      </c>
      <c r="J1284" s="4"/>
      <c r="K1284" s="4"/>
      <c r="L1284" s="4"/>
      <c r="M1284" s="4"/>
      <c r="N1284" s="4"/>
      <c r="O1284" s="4"/>
    </row>
    <row r="1285" spans="1:15" x14ac:dyDescent="0.3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</row>
    <row r="1286" spans="1:15" x14ac:dyDescent="0.3">
      <c r="A1286" s="4" t="s">
        <v>687</v>
      </c>
      <c r="B1286" s="4" t="s">
        <v>49</v>
      </c>
      <c r="C1286" s="4" t="s">
        <v>12</v>
      </c>
      <c r="D1286" s="4">
        <v>15961878</v>
      </c>
      <c r="E1286" s="4">
        <v>30</v>
      </c>
      <c r="F1286" s="4" t="s">
        <v>1433</v>
      </c>
      <c r="G1286" s="4">
        <v>30</v>
      </c>
      <c r="H1286" s="4">
        <v>0</v>
      </c>
      <c r="I1286" s="4">
        <v>0</v>
      </c>
      <c r="J1286" s="4"/>
      <c r="K1286" s="4"/>
      <c r="L1286" s="4"/>
      <c r="M1286" s="4"/>
      <c r="N1286" s="4"/>
      <c r="O1286" s="4"/>
    </row>
    <row r="1287" spans="1:15" x14ac:dyDescent="0.3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</row>
    <row r="1288" spans="1:15" x14ac:dyDescent="0.3">
      <c r="A1288" s="4" t="s">
        <v>688</v>
      </c>
      <c r="B1288" s="4" t="s">
        <v>49</v>
      </c>
      <c r="C1288" s="4" t="s">
        <v>12</v>
      </c>
      <c r="D1288" s="4">
        <v>15961884</v>
      </c>
      <c r="E1288" s="4">
        <v>64</v>
      </c>
      <c r="F1288" s="4" t="s">
        <v>1433</v>
      </c>
      <c r="G1288" s="4">
        <v>64</v>
      </c>
      <c r="H1288" s="4">
        <v>0</v>
      </c>
      <c r="I1288" s="4">
        <v>0</v>
      </c>
      <c r="J1288" s="4"/>
      <c r="K1288" s="4"/>
      <c r="L1288" s="4"/>
      <c r="M1288" s="4"/>
      <c r="N1288" s="4"/>
      <c r="O1288" s="4"/>
    </row>
    <row r="1289" spans="1:15" x14ac:dyDescent="0.3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</row>
    <row r="1290" spans="1:15" x14ac:dyDescent="0.3">
      <c r="A1290" s="4" t="s">
        <v>689</v>
      </c>
      <c r="B1290" s="4" t="s">
        <v>49</v>
      </c>
      <c r="C1290" s="4" t="s">
        <v>12</v>
      </c>
      <c r="D1290" s="4">
        <v>15963180</v>
      </c>
      <c r="E1290" s="4">
        <v>4917</v>
      </c>
      <c r="F1290" s="4" t="s">
        <v>1433</v>
      </c>
      <c r="G1290" s="4">
        <v>4917</v>
      </c>
      <c r="H1290" s="4">
        <v>0</v>
      </c>
      <c r="I1290" s="4">
        <v>0</v>
      </c>
      <c r="J1290" s="4"/>
      <c r="K1290" s="4"/>
      <c r="L1290" s="4"/>
      <c r="M1290" s="4"/>
      <c r="N1290" s="4"/>
      <c r="O1290" s="4"/>
    </row>
    <row r="1291" spans="1:15" x14ac:dyDescent="0.3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</row>
    <row r="1292" spans="1:15" x14ac:dyDescent="0.3">
      <c r="A1292" s="4" t="s">
        <v>690</v>
      </c>
      <c r="B1292" s="4" t="s">
        <v>49</v>
      </c>
      <c r="C1292" s="4" t="s">
        <v>12</v>
      </c>
      <c r="D1292" s="4">
        <v>15963186</v>
      </c>
      <c r="E1292" s="4">
        <v>1653</v>
      </c>
      <c r="F1292" s="4" t="s">
        <v>1433</v>
      </c>
      <c r="G1292" s="4">
        <v>1653</v>
      </c>
      <c r="H1292" s="4">
        <v>0</v>
      </c>
      <c r="I1292" s="4">
        <v>0</v>
      </c>
      <c r="J1292" s="4"/>
      <c r="K1292" s="4"/>
      <c r="L1292" s="4"/>
      <c r="M1292" s="4"/>
      <c r="N1292" s="4"/>
      <c r="O1292" s="4"/>
    </row>
    <row r="1293" spans="1:15" x14ac:dyDescent="0.3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</row>
    <row r="1294" spans="1:15" x14ac:dyDescent="0.3">
      <c r="A1294" s="4" t="s">
        <v>691</v>
      </c>
      <c r="B1294" s="4" t="s">
        <v>49</v>
      </c>
      <c r="C1294" s="4" t="s">
        <v>12</v>
      </c>
      <c r="D1294" s="4">
        <v>15963192</v>
      </c>
      <c r="E1294" s="4">
        <v>4462</v>
      </c>
      <c r="F1294" s="4" t="s">
        <v>1433</v>
      </c>
      <c r="G1294" s="4">
        <v>4462</v>
      </c>
      <c r="H1294" s="4">
        <v>0</v>
      </c>
      <c r="I1294" s="4">
        <v>0</v>
      </c>
      <c r="J1294" s="4"/>
      <c r="K1294" s="4"/>
      <c r="L1294" s="4"/>
      <c r="M1294" s="4"/>
      <c r="N1294" s="4"/>
      <c r="O1294" s="4"/>
    </row>
    <row r="1295" spans="1:15" x14ac:dyDescent="0.3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</row>
    <row r="1296" spans="1:15" x14ac:dyDescent="0.3">
      <c r="A1296" s="4" t="s">
        <v>692</v>
      </c>
      <c r="B1296" s="4" t="s">
        <v>49</v>
      </c>
      <c r="C1296" s="4" t="s">
        <v>12</v>
      </c>
      <c r="D1296" s="4">
        <v>15963198</v>
      </c>
      <c r="E1296" s="4">
        <v>2283</v>
      </c>
      <c r="F1296" s="4" t="s">
        <v>1433</v>
      </c>
      <c r="G1296" s="4">
        <v>2283</v>
      </c>
      <c r="H1296" s="4">
        <v>0</v>
      </c>
      <c r="I1296" s="4">
        <v>0</v>
      </c>
      <c r="J1296" s="4"/>
      <c r="K1296" s="4"/>
      <c r="L1296" s="4"/>
      <c r="M1296" s="4"/>
      <c r="N1296" s="4"/>
      <c r="O1296" s="4"/>
    </row>
    <row r="1297" spans="1:15" x14ac:dyDescent="0.3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</row>
    <row r="1298" spans="1:15" x14ac:dyDescent="0.3">
      <c r="A1298" s="4" t="s">
        <v>693</v>
      </c>
      <c r="B1298" s="4" t="s">
        <v>49</v>
      </c>
      <c r="C1298" s="4" t="s">
        <v>12</v>
      </c>
      <c r="D1298" s="4">
        <v>15965172</v>
      </c>
      <c r="E1298" s="4">
        <v>137</v>
      </c>
      <c r="F1298" s="4" t="s">
        <v>1433</v>
      </c>
      <c r="G1298" s="4">
        <v>137</v>
      </c>
      <c r="H1298" s="4">
        <v>0</v>
      </c>
      <c r="I1298" s="4">
        <v>0</v>
      </c>
      <c r="J1298" s="4"/>
      <c r="K1298" s="4"/>
      <c r="L1298" s="4"/>
      <c r="M1298" s="4"/>
      <c r="N1298" s="4"/>
      <c r="O1298" s="4"/>
    </row>
    <row r="1299" spans="1:15" x14ac:dyDescent="0.3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</row>
    <row r="1300" spans="1:15" x14ac:dyDescent="0.3">
      <c r="A1300" s="4" t="s">
        <v>694</v>
      </c>
      <c r="B1300" s="4" t="s">
        <v>49</v>
      </c>
      <c r="C1300" s="4" t="s">
        <v>12</v>
      </c>
      <c r="D1300" s="4">
        <v>15965616</v>
      </c>
      <c r="E1300" s="4">
        <v>170</v>
      </c>
      <c r="F1300" s="4" t="s">
        <v>1433</v>
      </c>
      <c r="G1300" s="4">
        <v>170</v>
      </c>
      <c r="H1300" s="4">
        <v>0</v>
      </c>
      <c r="I1300" s="4">
        <v>0</v>
      </c>
      <c r="J1300" s="4"/>
      <c r="K1300" s="4"/>
      <c r="L1300" s="4"/>
      <c r="M1300" s="4"/>
      <c r="N1300" s="4"/>
      <c r="O1300" s="4"/>
    </row>
    <row r="1301" spans="1:15" x14ac:dyDescent="0.3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</row>
    <row r="1302" spans="1:15" x14ac:dyDescent="0.3">
      <c r="A1302" s="4" t="s">
        <v>695</v>
      </c>
      <c r="B1302" s="4" t="s">
        <v>49</v>
      </c>
      <c r="C1302" s="4" t="s">
        <v>12</v>
      </c>
      <c r="D1302" s="4">
        <v>15969096</v>
      </c>
      <c r="E1302" s="4">
        <v>2797</v>
      </c>
      <c r="F1302" s="4" t="s">
        <v>1433</v>
      </c>
      <c r="G1302" s="4">
        <v>2797</v>
      </c>
      <c r="H1302" s="4">
        <v>0</v>
      </c>
      <c r="I1302" s="4">
        <v>0</v>
      </c>
      <c r="J1302" s="4"/>
      <c r="K1302" s="4"/>
      <c r="L1302" s="4"/>
      <c r="M1302" s="4"/>
      <c r="N1302" s="4"/>
      <c r="O1302" s="4"/>
    </row>
    <row r="1303" spans="1:15" x14ac:dyDescent="0.3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</row>
    <row r="1304" spans="1:15" x14ac:dyDescent="0.3">
      <c r="A1304" s="4" t="s">
        <v>696</v>
      </c>
      <c r="B1304" s="4" t="s">
        <v>49</v>
      </c>
      <c r="C1304" s="4" t="s">
        <v>12</v>
      </c>
      <c r="D1304" s="4">
        <v>15969102</v>
      </c>
      <c r="E1304" s="4">
        <v>2826</v>
      </c>
      <c r="F1304" s="4" t="s">
        <v>1433</v>
      </c>
      <c r="G1304" s="4">
        <v>2826</v>
      </c>
      <c r="H1304" s="4">
        <v>0</v>
      </c>
      <c r="I1304" s="4">
        <v>0</v>
      </c>
      <c r="J1304" s="4"/>
      <c r="K1304" s="4"/>
      <c r="L1304" s="4"/>
      <c r="M1304" s="4"/>
      <c r="N1304" s="4"/>
      <c r="O1304" s="4"/>
    </row>
    <row r="1305" spans="1:15" x14ac:dyDescent="0.3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</row>
    <row r="1306" spans="1:15" x14ac:dyDescent="0.3">
      <c r="A1306" s="4" t="s">
        <v>697</v>
      </c>
      <c r="B1306" s="4" t="s">
        <v>49</v>
      </c>
      <c r="C1306" s="4" t="s">
        <v>12</v>
      </c>
      <c r="D1306" s="4">
        <v>15969108</v>
      </c>
      <c r="E1306" s="4">
        <v>4059</v>
      </c>
      <c r="F1306" s="4" t="s">
        <v>1433</v>
      </c>
      <c r="G1306" s="4">
        <v>4059</v>
      </c>
      <c r="H1306" s="4">
        <v>0</v>
      </c>
      <c r="I1306" s="4">
        <v>0</v>
      </c>
      <c r="J1306" s="4"/>
      <c r="K1306" s="4"/>
      <c r="L1306" s="4"/>
      <c r="M1306" s="4"/>
      <c r="N1306" s="4"/>
      <c r="O1306" s="4"/>
    </row>
    <row r="1307" spans="1:15" x14ac:dyDescent="0.3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</row>
    <row r="1308" spans="1:15" x14ac:dyDescent="0.3">
      <c r="A1308" s="4" t="s">
        <v>698</v>
      </c>
      <c r="B1308" s="4" t="s">
        <v>49</v>
      </c>
      <c r="C1308" s="4" t="s">
        <v>12</v>
      </c>
      <c r="D1308" s="4">
        <v>15969126</v>
      </c>
      <c r="E1308" s="4">
        <v>2349</v>
      </c>
      <c r="F1308" s="4" t="s">
        <v>1433</v>
      </c>
      <c r="G1308" s="4">
        <v>2349</v>
      </c>
      <c r="H1308" s="4">
        <v>0</v>
      </c>
      <c r="I1308" s="4">
        <v>0</v>
      </c>
      <c r="J1308" s="4"/>
      <c r="K1308" s="4"/>
      <c r="L1308" s="4"/>
      <c r="M1308" s="4"/>
      <c r="N1308" s="4"/>
      <c r="O1308" s="4"/>
    </row>
    <row r="1309" spans="1:15" x14ac:dyDescent="0.3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</row>
    <row r="1310" spans="1:15" x14ac:dyDescent="0.3">
      <c r="A1310" s="4" t="s">
        <v>699</v>
      </c>
      <c r="B1310" s="4" t="s">
        <v>49</v>
      </c>
      <c r="C1310" s="4" t="s">
        <v>12</v>
      </c>
      <c r="D1310" s="4">
        <v>15969132</v>
      </c>
      <c r="E1310" s="4">
        <v>3517</v>
      </c>
      <c r="F1310" s="4" t="s">
        <v>1433</v>
      </c>
      <c r="G1310" s="4">
        <v>3517</v>
      </c>
      <c r="H1310" s="4">
        <v>0</v>
      </c>
      <c r="I1310" s="4">
        <v>0</v>
      </c>
      <c r="J1310" s="4"/>
      <c r="K1310" s="4"/>
      <c r="L1310" s="4"/>
      <c r="M1310" s="4"/>
      <c r="N1310" s="4"/>
      <c r="O1310" s="4"/>
    </row>
    <row r="1311" spans="1:15" x14ac:dyDescent="0.3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</row>
    <row r="1312" spans="1:15" x14ac:dyDescent="0.3">
      <c r="A1312" s="4" t="s">
        <v>700</v>
      </c>
      <c r="B1312" s="4" t="s">
        <v>49</v>
      </c>
      <c r="C1312" s="4" t="s">
        <v>12</v>
      </c>
      <c r="D1312" s="4">
        <v>15969138</v>
      </c>
      <c r="E1312" s="4">
        <v>2557</v>
      </c>
      <c r="F1312" s="4" t="s">
        <v>1433</v>
      </c>
      <c r="G1312" s="4">
        <v>2557</v>
      </c>
      <c r="H1312" s="4">
        <v>0</v>
      </c>
      <c r="I1312" s="4">
        <v>0</v>
      </c>
      <c r="J1312" s="4"/>
      <c r="K1312" s="4"/>
      <c r="L1312" s="4"/>
      <c r="M1312" s="4"/>
      <c r="N1312" s="4"/>
      <c r="O1312" s="4"/>
    </row>
    <row r="1313" spans="1:15" x14ac:dyDescent="0.3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</row>
    <row r="1314" spans="1:15" x14ac:dyDescent="0.3">
      <c r="A1314" s="4" t="s">
        <v>701</v>
      </c>
      <c r="B1314" s="4" t="s">
        <v>49</v>
      </c>
      <c r="C1314" s="4" t="s">
        <v>12</v>
      </c>
      <c r="D1314" s="4">
        <v>15970494</v>
      </c>
      <c r="E1314" s="4">
        <v>279</v>
      </c>
      <c r="F1314" s="4" t="s">
        <v>1433</v>
      </c>
      <c r="G1314" s="4">
        <v>279</v>
      </c>
      <c r="H1314" s="4">
        <v>0</v>
      </c>
      <c r="I1314" s="4">
        <v>0</v>
      </c>
      <c r="J1314" s="4"/>
      <c r="K1314" s="4"/>
      <c r="L1314" s="4"/>
      <c r="M1314" s="4"/>
      <c r="N1314" s="4"/>
      <c r="O1314" s="4"/>
    </row>
    <row r="1315" spans="1:15" x14ac:dyDescent="0.3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</row>
    <row r="1316" spans="1:15" x14ac:dyDescent="0.3">
      <c r="A1316" s="4" t="s">
        <v>702</v>
      </c>
      <c r="B1316" s="4" t="s">
        <v>49</v>
      </c>
      <c r="C1316" s="4" t="s">
        <v>12</v>
      </c>
      <c r="D1316" s="4">
        <v>15970500</v>
      </c>
      <c r="E1316" s="4">
        <v>229</v>
      </c>
      <c r="F1316" s="4" t="s">
        <v>1433</v>
      </c>
      <c r="G1316" s="4">
        <v>229</v>
      </c>
      <c r="H1316" s="4">
        <v>0</v>
      </c>
      <c r="I1316" s="4">
        <v>0</v>
      </c>
      <c r="J1316" s="4"/>
      <c r="K1316" s="4"/>
      <c r="L1316" s="4"/>
      <c r="M1316" s="4"/>
      <c r="N1316" s="4"/>
      <c r="O1316" s="4"/>
    </row>
    <row r="1317" spans="1:15" x14ac:dyDescent="0.3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</row>
    <row r="1318" spans="1:15" x14ac:dyDescent="0.3">
      <c r="A1318" s="4" t="s">
        <v>703</v>
      </c>
      <c r="B1318" s="4" t="s">
        <v>49</v>
      </c>
      <c r="C1318" s="4" t="s">
        <v>12</v>
      </c>
      <c r="D1318" s="4">
        <v>15978102</v>
      </c>
      <c r="E1318" s="4">
        <v>7028</v>
      </c>
      <c r="F1318" s="4" t="s">
        <v>1433</v>
      </c>
      <c r="G1318" s="4">
        <v>7028</v>
      </c>
      <c r="H1318" s="4">
        <v>0</v>
      </c>
      <c r="I1318" s="4">
        <v>0</v>
      </c>
      <c r="J1318" s="4"/>
      <c r="K1318" s="4"/>
      <c r="L1318" s="4"/>
      <c r="M1318" s="4"/>
      <c r="N1318" s="4"/>
      <c r="O1318" s="4"/>
    </row>
    <row r="1319" spans="1:15" x14ac:dyDescent="0.3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</row>
    <row r="1320" spans="1:15" x14ac:dyDescent="0.3">
      <c r="A1320" s="4" t="s">
        <v>704</v>
      </c>
      <c r="B1320" s="4" t="s">
        <v>49</v>
      </c>
      <c r="C1320" s="4" t="s">
        <v>12</v>
      </c>
      <c r="D1320" s="4">
        <v>15979236</v>
      </c>
      <c r="E1320" s="4">
        <v>59</v>
      </c>
      <c r="F1320" s="4" t="s">
        <v>1433</v>
      </c>
      <c r="G1320" s="4">
        <v>59</v>
      </c>
      <c r="H1320" s="4">
        <v>0</v>
      </c>
      <c r="I1320" s="4">
        <v>0</v>
      </c>
      <c r="J1320" s="4"/>
      <c r="K1320" s="4"/>
      <c r="L1320" s="4"/>
      <c r="M1320" s="4"/>
      <c r="N1320" s="4"/>
      <c r="O1320" s="4"/>
    </row>
    <row r="1321" spans="1:15" x14ac:dyDescent="0.3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</row>
    <row r="1322" spans="1:15" x14ac:dyDescent="0.3">
      <c r="A1322" s="4" t="s">
        <v>705</v>
      </c>
      <c r="B1322" s="4" t="s">
        <v>49</v>
      </c>
      <c r="C1322" s="4" t="s">
        <v>12</v>
      </c>
      <c r="D1322" s="4">
        <v>15988020</v>
      </c>
      <c r="E1322" s="4">
        <v>1535</v>
      </c>
      <c r="F1322" s="4" t="s">
        <v>1433</v>
      </c>
      <c r="G1322" s="4">
        <v>1535</v>
      </c>
      <c r="H1322" s="4">
        <v>0</v>
      </c>
      <c r="I1322" s="4">
        <v>0</v>
      </c>
      <c r="J1322" s="4"/>
      <c r="K1322" s="4"/>
      <c r="L1322" s="4"/>
      <c r="M1322" s="4"/>
      <c r="N1322" s="4"/>
      <c r="O1322" s="4"/>
    </row>
    <row r="1323" spans="1:15" x14ac:dyDescent="0.3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</row>
    <row r="1324" spans="1:15" x14ac:dyDescent="0.3">
      <c r="A1324" s="4" t="s">
        <v>706</v>
      </c>
      <c r="B1324" s="4" t="s">
        <v>49</v>
      </c>
      <c r="C1324" s="4" t="s">
        <v>12</v>
      </c>
      <c r="D1324" s="4">
        <v>15989166</v>
      </c>
      <c r="E1324" s="4">
        <v>581</v>
      </c>
      <c r="F1324" s="4" t="s">
        <v>1433</v>
      </c>
      <c r="G1324" s="4">
        <v>581</v>
      </c>
      <c r="H1324" s="4">
        <v>0</v>
      </c>
      <c r="I1324" s="4">
        <v>0</v>
      </c>
      <c r="J1324" s="4"/>
      <c r="K1324" s="4"/>
      <c r="L1324" s="4"/>
      <c r="M1324" s="4"/>
      <c r="N1324" s="4"/>
      <c r="O1324" s="4"/>
    </row>
    <row r="1325" spans="1:15" x14ac:dyDescent="0.3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</row>
    <row r="1326" spans="1:15" x14ac:dyDescent="0.3">
      <c r="A1326" s="4" t="s">
        <v>707</v>
      </c>
      <c r="B1326" s="4" t="s">
        <v>49</v>
      </c>
      <c r="C1326" s="4" t="s">
        <v>12</v>
      </c>
      <c r="D1326" s="4">
        <v>16032696</v>
      </c>
      <c r="E1326" s="4">
        <v>30</v>
      </c>
      <c r="F1326" s="4" t="s">
        <v>1433</v>
      </c>
      <c r="G1326" s="4">
        <v>30</v>
      </c>
      <c r="H1326" s="4">
        <v>0</v>
      </c>
      <c r="I1326" s="4">
        <v>0</v>
      </c>
      <c r="J1326" s="4"/>
      <c r="K1326" s="4"/>
      <c r="L1326" s="4"/>
      <c r="M1326" s="4"/>
      <c r="N1326" s="4"/>
      <c r="O1326" s="4"/>
    </row>
    <row r="1327" spans="1:15" x14ac:dyDescent="0.3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</row>
    <row r="1328" spans="1:15" x14ac:dyDescent="0.3">
      <c r="A1328" s="4" t="s">
        <v>708</v>
      </c>
      <c r="B1328" s="4" t="s">
        <v>49</v>
      </c>
      <c r="C1328" s="4" t="s">
        <v>12</v>
      </c>
      <c r="D1328" s="4">
        <v>16032720</v>
      </c>
      <c r="E1328" s="4">
        <v>230</v>
      </c>
      <c r="F1328" s="4" t="s">
        <v>1433</v>
      </c>
      <c r="G1328" s="4">
        <v>230</v>
      </c>
      <c r="H1328" s="4">
        <v>0</v>
      </c>
      <c r="I1328" s="4">
        <v>0</v>
      </c>
      <c r="J1328" s="4"/>
      <c r="K1328" s="4"/>
      <c r="L1328" s="4"/>
      <c r="M1328" s="4"/>
      <c r="N1328" s="4"/>
      <c r="O1328" s="4"/>
    </row>
    <row r="1329" spans="1:15" x14ac:dyDescent="0.3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</row>
    <row r="1330" spans="1:15" x14ac:dyDescent="0.3">
      <c r="A1330" s="4" t="s">
        <v>709</v>
      </c>
      <c r="B1330" s="4" t="s">
        <v>47</v>
      </c>
      <c r="C1330" s="4" t="s">
        <v>12</v>
      </c>
      <c r="D1330" s="4">
        <v>16037442</v>
      </c>
      <c r="E1330" s="4">
        <v>38343</v>
      </c>
      <c r="F1330" s="4" t="s">
        <v>1433</v>
      </c>
      <c r="G1330" s="4">
        <v>38343</v>
      </c>
      <c r="H1330" s="4">
        <v>0</v>
      </c>
      <c r="I1330" s="4">
        <v>0</v>
      </c>
      <c r="J1330" s="4"/>
      <c r="K1330" s="4"/>
      <c r="L1330" s="4"/>
      <c r="M1330" s="4"/>
      <c r="N1330" s="4"/>
      <c r="O1330" s="4"/>
    </row>
    <row r="1331" spans="1:15" x14ac:dyDescent="0.3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</row>
    <row r="1332" spans="1:15" x14ac:dyDescent="0.3">
      <c r="A1332" s="4" t="s">
        <v>710</v>
      </c>
      <c r="B1332" s="4" t="s">
        <v>49</v>
      </c>
      <c r="C1332" s="4" t="s">
        <v>12</v>
      </c>
      <c r="D1332" s="4">
        <v>16049694</v>
      </c>
      <c r="E1332" s="4">
        <v>1386</v>
      </c>
      <c r="F1332" s="4" t="s">
        <v>1433</v>
      </c>
      <c r="G1332" s="4">
        <v>1386</v>
      </c>
      <c r="H1332" s="4">
        <v>0</v>
      </c>
      <c r="I1332" s="4">
        <v>0</v>
      </c>
      <c r="J1332" s="4"/>
      <c r="K1332" s="4"/>
      <c r="L1332" s="4"/>
      <c r="M1332" s="4"/>
      <c r="N1332" s="4"/>
      <c r="O1332" s="4"/>
    </row>
    <row r="1333" spans="1:15" x14ac:dyDescent="0.3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</row>
    <row r="1334" spans="1:15" x14ac:dyDescent="0.3">
      <c r="A1334" s="4" t="s">
        <v>711</v>
      </c>
      <c r="B1334" s="4" t="s">
        <v>49</v>
      </c>
      <c r="C1334" s="4" t="s">
        <v>12</v>
      </c>
      <c r="D1334" s="4">
        <v>16049700</v>
      </c>
      <c r="E1334" s="4">
        <v>2181</v>
      </c>
      <c r="F1334" s="4" t="s">
        <v>1433</v>
      </c>
      <c r="G1334" s="4">
        <v>2181</v>
      </c>
      <c r="H1334" s="4">
        <v>0</v>
      </c>
      <c r="I1334" s="4">
        <v>0</v>
      </c>
      <c r="J1334" s="4"/>
      <c r="K1334" s="4"/>
      <c r="L1334" s="4"/>
      <c r="M1334" s="4"/>
      <c r="N1334" s="4"/>
      <c r="O1334" s="4"/>
    </row>
    <row r="1335" spans="1:15" x14ac:dyDescent="0.3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</row>
    <row r="1336" spans="1:15" x14ac:dyDescent="0.3">
      <c r="A1336" s="4" t="s">
        <v>712</v>
      </c>
      <c r="B1336" s="4" t="s">
        <v>47</v>
      </c>
      <c r="C1336" s="4" t="s">
        <v>12</v>
      </c>
      <c r="D1336" s="4">
        <v>16049706</v>
      </c>
      <c r="E1336" s="4">
        <v>2982</v>
      </c>
      <c r="F1336" s="4" t="s">
        <v>1433</v>
      </c>
      <c r="G1336" s="4">
        <v>2982</v>
      </c>
      <c r="H1336" s="4">
        <v>0</v>
      </c>
      <c r="I1336" s="4">
        <v>0</v>
      </c>
      <c r="J1336" s="4"/>
      <c r="K1336" s="4"/>
      <c r="L1336" s="4"/>
      <c r="M1336" s="4"/>
      <c r="N1336" s="4"/>
      <c r="O1336" s="4"/>
    </row>
    <row r="1337" spans="1:15" x14ac:dyDescent="0.3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</row>
    <row r="1338" spans="1:15" x14ac:dyDescent="0.3">
      <c r="A1338" s="4" t="s">
        <v>713</v>
      </c>
      <c r="B1338" s="4" t="s">
        <v>49</v>
      </c>
      <c r="C1338" s="4" t="s">
        <v>12</v>
      </c>
      <c r="D1338" s="4">
        <v>16051920</v>
      </c>
      <c r="E1338" s="4">
        <v>5108</v>
      </c>
      <c r="F1338" s="4" t="s">
        <v>1433</v>
      </c>
      <c r="G1338" s="4">
        <v>5108</v>
      </c>
      <c r="H1338" s="4">
        <v>0</v>
      </c>
      <c r="I1338" s="4">
        <v>0</v>
      </c>
      <c r="J1338" s="4"/>
      <c r="K1338" s="4"/>
      <c r="L1338" s="4"/>
      <c r="M1338" s="4"/>
      <c r="N1338" s="4"/>
      <c r="O1338" s="4"/>
    </row>
    <row r="1339" spans="1:15" x14ac:dyDescent="0.3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</row>
    <row r="1340" spans="1:15" x14ac:dyDescent="0.3">
      <c r="A1340" s="4" t="s">
        <v>714</v>
      </c>
      <c r="B1340" s="4" t="s">
        <v>47</v>
      </c>
      <c r="C1340" s="4" t="s">
        <v>12</v>
      </c>
      <c r="D1340" s="4">
        <v>16052154</v>
      </c>
      <c r="E1340" s="4">
        <v>8041</v>
      </c>
      <c r="F1340" s="4" t="s">
        <v>1433</v>
      </c>
      <c r="G1340" s="4">
        <v>8041</v>
      </c>
      <c r="H1340" s="4">
        <v>0</v>
      </c>
      <c r="I1340" s="4">
        <v>0</v>
      </c>
      <c r="J1340" s="4"/>
      <c r="K1340" s="4"/>
      <c r="L1340" s="4"/>
      <c r="M1340" s="4"/>
      <c r="N1340" s="4"/>
      <c r="O1340" s="4"/>
    </row>
    <row r="1341" spans="1:15" x14ac:dyDescent="0.3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</row>
    <row r="1342" spans="1:15" x14ac:dyDescent="0.3">
      <c r="A1342" s="4" t="s">
        <v>715</v>
      </c>
      <c r="B1342" s="4" t="s">
        <v>49</v>
      </c>
      <c r="C1342" s="4" t="s">
        <v>12</v>
      </c>
      <c r="D1342" s="4">
        <v>16054722</v>
      </c>
      <c r="E1342" s="4">
        <v>610</v>
      </c>
      <c r="F1342" s="4" t="s">
        <v>1433</v>
      </c>
      <c r="G1342" s="4">
        <v>610</v>
      </c>
      <c r="H1342" s="4">
        <v>0</v>
      </c>
      <c r="I1342" s="4">
        <v>0</v>
      </c>
      <c r="J1342" s="4"/>
      <c r="K1342" s="4"/>
      <c r="L1342" s="4"/>
      <c r="M1342" s="4"/>
      <c r="N1342" s="4"/>
      <c r="O1342" s="4"/>
    </row>
    <row r="1343" spans="1:15" x14ac:dyDescent="0.3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</row>
    <row r="1344" spans="1:15" x14ac:dyDescent="0.3">
      <c r="A1344" s="4" t="s">
        <v>716</v>
      </c>
      <c r="B1344" s="4" t="s">
        <v>49</v>
      </c>
      <c r="C1344" s="4" t="s">
        <v>12</v>
      </c>
      <c r="D1344" s="4">
        <v>16058256</v>
      </c>
      <c r="E1344" s="4">
        <v>1395</v>
      </c>
      <c r="F1344" s="4" t="s">
        <v>1433</v>
      </c>
      <c r="G1344" s="4">
        <v>1395</v>
      </c>
      <c r="H1344" s="4">
        <v>0</v>
      </c>
      <c r="I1344" s="4">
        <v>0</v>
      </c>
      <c r="J1344" s="4"/>
      <c r="K1344" s="4"/>
      <c r="L1344" s="4"/>
      <c r="M1344" s="4"/>
      <c r="N1344" s="4"/>
      <c r="O1344" s="4"/>
    </row>
    <row r="1345" spans="1:15" x14ac:dyDescent="0.3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</row>
    <row r="1346" spans="1:15" x14ac:dyDescent="0.3">
      <c r="A1346" s="4" t="s">
        <v>717</v>
      </c>
      <c r="B1346" s="4" t="s">
        <v>49</v>
      </c>
      <c r="C1346" s="4" t="s">
        <v>12</v>
      </c>
      <c r="D1346" s="4">
        <v>16062108</v>
      </c>
      <c r="E1346" s="4">
        <v>800</v>
      </c>
      <c r="F1346" s="4" t="s">
        <v>1433</v>
      </c>
      <c r="G1346" s="4">
        <v>800</v>
      </c>
      <c r="H1346" s="4">
        <v>0</v>
      </c>
      <c r="I1346" s="4">
        <v>0</v>
      </c>
      <c r="J1346" s="4"/>
      <c r="K1346" s="4"/>
      <c r="L1346" s="4"/>
      <c r="M1346" s="4"/>
      <c r="N1346" s="4"/>
      <c r="O1346" s="4"/>
    </row>
    <row r="1347" spans="1:15" x14ac:dyDescent="0.3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</row>
    <row r="1348" spans="1:15" x14ac:dyDescent="0.3">
      <c r="A1348" s="4" t="s">
        <v>718</v>
      </c>
      <c r="B1348" s="4" t="s">
        <v>49</v>
      </c>
      <c r="C1348" s="4" t="s">
        <v>12</v>
      </c>
      <c r="D1348" s="4">
        <v>16090578</v>
      </c>
      <c r="E1348" s="4">
        <v>1396</v>
      </c>
      <c r="F1348" s="4" t="s">
        <v>1433</v>
      </c>
      <c r="G1348" s="4">
        <v>1396</v>
      </c>
      <c r="H1348" s="4">
        <v>0</v>
      </c>
      <c r="I1348" s="4">
        <v>0</v>
      </c>
      <c r="J1348" s="4"/>
      <c r="K1348" s="4"/>
      <c r="L1348" s="4"/>
      <c r="M1348" s="4"/>
      <c r="N1348" s="4"/>
      <c r="O1348" s="4"/>
    </row>
    <row r="1349" spans="1:15" x14ac:dyDescent="0.3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</row>
    <row r="1350" spans="1:15" x14ac:dyDescent="0.3">
      <c r="A1350" s="4" t="s">
        <v>719</v>
      </c>
      <c r="B1350" s="4" t="s">
        <v>49</v>
      </c>
      <c r="C1350" s="4" t="s">
        <v>12</v>
      </c>
      <c r="D1350" s="4">
        <v>16096308</v>
      </c>
      <c r="E1350" s="4">
        <v>811</v>
      </c>
      <c r="F1350" s="4" t="s">
        <v>1433</v>
      </c>
      <c r="G1350" s="4">
        <v>811</v>
      </c>
      <c r="H1350" s="4">
        <v>0</v>
      </c>
      <c r="I1350" s="4">
        <v>0</v>
      </c>
      <c r="J1350" s="4"/>
      <c r="K1350" s="4"/>
      <c r="L1350" s="4"/>
      <c r="M1350" s="4"/>
      <c r="N1350" s="4"/>
      <c r="O1350" s="4"/>
    </row>
    <row r="1351" spans="1:15" x14ac:dyDescent="0.3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</row>
    <row r="1352" spans="1:15" x14ac:dyDescent="0.3">
      <c r="A1352" s="4" t="s">
        <v>720</v>
      </c>
      <c r="B1352" s="4" t="s">
        <v>49</v>
      </c>
      <c r="C1352" s="4" t="s">
        <v>12</v>
      </c>
      <c r="D1352" s="4">
        <v>16100640</v>
      </c>
      <c r="E1352" s="4">
        <v>151</v>
      </c>
      <c r="F1352" s="4" t="s">
        <v>1433</v>
      </c>
      <c r="G1352" s="4">
        <v>151</v>
      </c>
      <c r="H1352" s="4">
        <v>0</v>
      </c>
      <c r="I1352" s="4">
        <v>0</v>
      </c>
      <c r="J1352" s="4"/>
      <c r="K1352" s="4"/>
      <c r="L1352" s="4"/>
      <c r="M1352" s="4"/>
      <c r="N1352" s="4"/>
      <c r="O1352" s="4"/>
    </row>
    <row r="1353" spans="1:15" x14ac:dyDescent="0.3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</row>
    <row r="1354" spans="1:15" x14ac:dyDescent="0.3">
      <c r="A1354" s="4" t="s">
        <v>721</v>
      </c>
      <c r="B1354" s="4" t="s">
        <v>47</v>
      </c>
      <c r="C1354" s="4" t="s">
        <v>12</v>
      </c>
      <c r="D1354" s="4">
        <v>16106400</v>
      </c>
      <c r="E1354" s="4">
        <v>5547</v>
      </c>
      <c r="F1354" s="4" t="s">
        <v>1433</v>
      </c>
      <c r="G1354" s="4">
        <v>5547</v>
      </c>
      <c r="H1354" s="4">
        <v>0</v>
      </c>
      <c r="I1354" s="4">
        <v>0</v>
      </c>
      <c r="J1354" s="4"/>
      <c r="K1354" s="4"/>
      <c r="L1354" s="4"/>
      <c r="M1354" s="4"/>
      <c r="N1354" s="4"/>
      <c r="O1354" s="4"/>
    </row>
    <row r="1355" spans="1:15" x14ac:dyDescent="0.3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</row>
    <row r="1356" spans="1:15" x14ac:dyDescent="0.3">
      <c r="A1356" s="4" t="s">
        <v>722</v>
      </c>
      <c r="B1356" s="4" t="s">
        <v>49</v>
      </c>
      <c r="C1356" s="4" t="s">
        <v>12</v>
      </c>
      <c r="D1356" s="4">
        <v>16108218</v>
      </c>
      <c r="E1356" s="4">
        <v>20</v>
      </c>
      <c r="F1356" s="4" t="s">
        <v>1433</v>
      </c>
      <c r="G1356" s="4">
        <v>20</v>
      </c>
      <c r="H1356" s="4">
        <v>0</v>
      </c>
      <c r="I1356" s="4">
        <v>0</v>
      </c>
      <c r="J1356" s="4"/>
      <c r="K1356" s="4"/>
      <c r="L1356" s="4"/>
      <c r="M1356" s="4"/>
      <c r="N1356" s="4"/>
      <c r="O1356" s="4"/>
    </row>
    <row r="1357" spans="1:15" x14ac:dyDescent="0.3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</row>
    <row r="1358" spans="1:15" x14ac:dyDescent="0.3">
      <c r="A1358" s="4" t="s">
        <v>723</v>
      </c>
      <c r="B1358" s="4" t="s">
        <v>49</v>
      </c>
      <c r="C1358" s="4" t="s">
        <v>12</v>
      </c>
      <c r="D1358" s="4">
        <v>16118406</v>
      </c>
      <c r="E1358" s="4">
        <v>88</v>
      </c>
      <c r="F1358" s="4" t="s">
        <v>1433</v>
      </c>
      <c r="G1358" s="4">
        <v>88</v>
      </c>
      <c r="H1358" s="4">
        <v>0</v>
      </c>
      <c r="I1358" s="4">
        <v>0</v>
      </c>
      <c r="J1358" s="4"/>
      <c r="K1358" s="4"/>
      <c r="L1358" s="4"/>
      <c r="M1358" s="4"/>
      <c r="N1358" s="4"/>
      <c r="O1358" s="4"/>
    </row>
    <row r="1359" spans="1:15" x14ac:dyDescent="0.3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</row>
    <row r="1360" spans="1:15" x14ac:dyDescent="0.3">
      <c r="A1360" s="4" t="s">
        <v>724</v>
      </c>
      <c r="B1360" s="4" t="s">
        <v>49</v>
      </c>
      <c r="C1360" s="4" t="s">
        <v>12</v>
      </c>
      <c r="D1360" s="4">
        <v>16125552</v>
      </c>
      <c r="E1360" s="4">
        <v>3957</v>
      </c>
      <c r="F1360" s="4" t="s">
        <v>1433</v>
      </c>
      <c r="G1360" s="4">
        <v>3957</v>
      </c>
      <c r="H1360" s="4">
        <v>0</v>
      </c>
      <c r="I1360" s="4">
        <v>0</v>
      </c>
      <c r="J1360" s="4"/>
      <c r="K1360" s="4"/>
      <c r="L1360" s="4"/>
      <c r="M1360" s="4"/>
      <c r="N1360" s="4"/>
      <c r="O1360" s="4"/>
    </row>
    <row r="1361" spans="1:15" x14ac:dyDescent="0.3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</row>
    <row r="1362" spans="1:15" x14ac:dyDescent="0.3">
      <c r="A1362" s="4" t="s">
        <v>725</v>
      </c>
      <c r="B1362" s="4" t="s">
        <v>49</v>
      </c>
      <c r="C1362" s="4" t="s">
        <v>12</v>
      </c>
      <c r="D1362" s="4">
        <v>16150818</v>
      </c>
      <c r="E1362" s="4">
        <v>1133</v>
      </c>
      <c r="F1362" s="4" t="s">
        <v>1433</v>
      </c>
      <c r="G1362" s="4">
        <v>1133</v>
      </c>
      <c r="H1362" s="4">
        <v>0</v>
      </c>
      <c r="I1362" s="4">
        <v>0</v>
      </c>
      <c r="J1362" s="4"/>
      <c r="K1362" s="4"/>
      <c r="L1362" s="4"/>
      <c r="M1362" s="4"/>
      <c r="N1362" s="4"/>
      <c r="O1362" s="4"/>
    </row>
    <row r="1363" spans="1:15" x14ac:dyDescent="0.3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</row>
    <row r="1364" spans="1:15" x14ac:dyDescent="0.3">
      <c r="A1364" s="4" t="s">
        <v>726</v>
      </c>
      <c r="B1364" s="4" t="s">
        <v>47</v>
      </c>
      <c r="C1364" s="4" t="s">
        <v>12</v>
      </c>
      <c r="D1364" s="4">
        <v>16184244</v>
      </c>
      <c r="E1364" s="4">
        <v>382803</v>
      </c>
      <c r="F1364" s="4" t="s">
        <v>1433</v>
      </c>
      <c r="G1364" s="4">
        <v>382803</v>
      </c>
      <c r="H1364" s="4">
        <v>0</v>
      </c>
      <c r="I1364" s="4">
        <v>0</v>
      </c>
      <c r="J1364" s="4"/>
      <c r="K1364" s="4"/>
      <c r="L1364" s="4"/>
      <c r="M1364" s="4"/>
      <c r="N1364" s="4"/>
      <c r="O1364" s="4"/>
    </row>
    <row r="1365" spans="1:15" x14ac:dyDescent="0.3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</row>
    <row r="1366" spans="1:15" x14ac:dyDescent="0.3">
      <c r="A1366" s="4" t="s">
        <v>727</v>
      </c>
      <c r="B1366" s="4" t="s">
        <v>49</v>
      </c>
      <c r="C1366" s="4" t="s">
        <v>12</v>
      </c>
      <c r="D1366" s="4">
        <v>16185492</v>
      </c>
      <c r="E1366" s="4">
        <v>860</v>
      </c>
      <c r="F1366" s="4" t="s">
        <v>1433</v>
      </c>
      <c r="G1366" s="4">
        <v>860</v>
      </c>
      <c r="H1366" s="4">
        <v>0</v>
      </c>
      <c r="I1366" s="4">
        <v>0</v>
      </c>
      <c r="J1366" s="4"/>
      <c r="K1366" s="4"/>
      <c r="L1366" s="4"/>
      <c r="M1366" s="4"/>
      <c r="N1366" s="4"/>
      <c r="O1366" s="4"/>
    </row>
    <row r="1367" spans="1:15" x14ac:dyDescent="0.3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</row>
    <row r="1368" spans="1:15" x14ac:dyDescent="0.3">
      <c r="A1368" s="4" t="s">
        <v>728</v>
      </c>
      <c r="B1368" s="4" t="s">
        <v>49</v>
      </c>
      <c r="C1368" s="4" t="s">
        <v>12</v>
      </c>
      <c r="D1368" s="4">
        <v>25800306</v>
      </c>
      <c r="E1368" s="4">
        <v>19</v>
      </c>
      <c r="F1368" s="4" t="s">
        <v>1433</v>
      </c>
      <c r="G1368" s="4">
        <v>19</v>
      </c>
      <c r="H1368" s="4">
        <v>0</v>
      </c>
      <c r="I1368" s="4">
        <v>0</v>
      </c>
      <c r="J1368" s="4"/>
      <c r="K1368" s="4"/>
      <c r="L1368" s="4"/>
      <c r="M1368" s="4"/>
      <c r="N1368" s="4"/>
      <c r="O1368" s="4"/>
    </row>
    <row r="1369" spans="1:15" x14ac:dyDescent="0.3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</row>
    <row r="1370" spans="1:15" x14ac:dyDescent="0.3">
      <c r="A1370" s="4" t="s">
        <v>729</v>
      </c>
      <c r="B1370" s="4" t="s">
        <v>49</v>
      </c>
      <c r="C1370" s="4" t="s">
        <v>12</v>
      </c>
      <c r="D1370" s="4">
        <v>25800642</v>
      </c>
      <c r="E1370" s="4">
        <v>8</v>
      </c>
      <c r="F1370" s="4" t="s">
        <v>1433</v>
      </c>
      <c r="G1370" s="4">
        <v>8</v>
      </c>
      <c r="H1370" s="4">
        <v>0</v>
      </c>
      <c r="I1370" s="4">
        <v>0</v>
      </c>
      <c r="J1370" s="4"/>
      <c r="K1370" s="4"/>
      <c r="L1370" s="4"/>
      <c r="M1370" s="4"/>
      <c r="N1370" s="4"/>
      <c r="O1370" s="4"/>
    </row>
    <row r="1371" spans="1:15" x14ac:dyDescent="0.3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</row>
    <row r="1372" spans="1:15" x14ac:dyDescent="0.3">
      <c r="A1372" s="4" t="s">
        <v>730</v>
      </c>
      <c r="B1372" s="4" t="s">
        <v>49</v>
      </c>
      <c r="C1372" s="4" t="s">
        <v>12</v>
      </c>
      <c r="D1372" s="4">
        <v>25800672</v>
      </c>
      <c r="E1372" s="4">
        <v>22</v>
      </c>
      <c r="F1372" s="4" t="s">
        <v>1433</v>
      </c>
      <c r="G1372" s="4">
        <v>22</v>
      </c>
      <c r="H1372" s="4">
        <v>0</v>
      </c>
      <c r="I1372" s="4">
        <v>0</v>
      </c>
      <c r="J1372" s="4"/>
      <c r="K1372" s="4"/>
      <c r="L1372" s="4"/>
      <c r="M1372" s="4"/>
      <c r="N1372" s="4"/>
      <c r="O1372" s="4"/>
    </row>
    <row r="1373" spans="1:15" x14ac:dyDescent="0.3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</row>
    <row r="1374" spans="1:15" x14ac:dyDescent="0.3">
      <c r="A1374" s="4" t="s">
        <v>731</v>
      </c>
      <c r="B1374" s="4" t="s">
        <v>49</v>
      </c>
      <c r="C1374" s="4" t="s">
        <v>12</v>
      </c>
      <c r="D1374" s="4">
        <v>25800870</v>
      </c>
      <c r="E1374" s="4">
        <v>24</v>
      </c>
      <c r="F1374" s="4" t="s">
        <v>1433</v>
      </c>
      <c r="G1374" s="4">
        <v>24</v>
      </c>
      <c r="H1374" s="4">
        <v>0</v>
      </c>
      <c r="I1374" s="4">
        <v>0</v>
      </c>
      <c r="J1374" s="4"/>
      <c r="K1374" s="4"/>
      <c r="L1374" s="4"/>
      <c r="M1374" s="4"/>
      <c r="N1374" s="4"/>
      <c r="O1374" s="4"/>
    </row>
    <row r="1375" spans="1:15" x14ac:dyDescent="0.3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</row>
    <row r="1376" spans="1:15" x14ac:dyDescent="0.3">
      <c r="A1376" s="4" t="s">
        <v>732</v>
      </c>
      <c r="B1376" s="4" t="s">
        <v>49</v>
      </c>
      <c r="C1376" s="4" t="s">
        <v>12</v>
      </c>
      <c r="D1376" s="4">
        <v>25800888</v>
      </c>
      <c r="E1376" s="4">
        <v>17</v>
      </c>
      <c r="F1376" s="4" t="s">
        <v>1433</v>
      </c>
      <c r="G1376" s="4">
        <v>17</v>
      </c>
      <c r="H1376" s="4">
        <v>0</v>
      </c>
      <c r="I1376" s="4">
        <v>0</v>
      </c>
      <c r="J1376" s="4"/>
      <c r="K1376" s="4"/>
      <c r="L1376" s="4"/>
      <c r="M1376" s="4"/>
      <c r="N1376" s="4"/>
      <c r="O1376" s="4"/>
    </row>
    <row r="1377" spans="1:15" x14ac:dyDescent="0.3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</row>
    <row r="1378" spans="1:15" x14ac:dyDescent="0.3">
      <c r="A1378" s="4" t="s">
        <v>733</v>
      </c>
      <c r="B1378" s="4" t="s">
        <v>49</v>
      </c>
      <c r="C1378" s="4" t="s">
        <v>12</v>
      </c>
      <c r="D1378" s="4">
        <v>25800972</v>
      </c>
      <c r="E1378" s="4">
        <v>15</v>
      </c>
      <c r="F1378" s="4" t="s">
        <v>1433</v>
      </c>
      <c r="G1378" s="4">
        <v>15</v>
      </c>
      <c r="H1378" s="4">
        <v>0</v>
      </c>
      <c r="I1378" s="4">
        <v>0</v>
      </c>
      <c r="J1378" s="4"/>
      <c r="K1378" s="4"/>
      <c r="L1378" s="4"/>
      <c r="M1378" s="4"/>
      <c r="N1378" s="4"/>
      <c r="O1378" s="4"/>
    </row>
    <row r="1379" spans="1:15" x14ac:dyDescent="0.3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</row>
    <row r="1380" spans="1:15" x14ac:dyDescent="0.3">
      <c r="A1380" s="4" t="s">
        <v>734</v>
      </c>
      <c r="B1380" s="4" t="s">
        <v>49</v>
      </c>
      <c r="C1380" s="4" t="s">
        <v>12</v>
      </c>
      <c r="D1380" s="4">
        <v>25800978</v>
      </c>
      <c r="E1380" s="4">
        <v>15</v>
      </c>
      <c r="F1380" s="4" t="s">
        <v>1433</v>
      </c>
      <c r="G1380" s="4">
        <v>15</v>
      </c>
      <c r="H1380" s="4">
        <v>0</v>
      </c>
      <c r="I1380" s="4">
        <v>0</v>
      </c>
      <c r="J1380" s="4"/>
      <c r="K1380" s="4"/>
      <c r="L1380" s="4"/>
      <c r="M1380" s="4"/>
      <c r="N1380" s="4"/>
      <c r="O1380" s="4"/>
    </row>
    <row r="1381" spans="1:15" x14ac:dyDescent="0.3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</row>
    <row r="1382" spans="1:15" x14ac:dyDescent="0.3">
      <c r="A1382" s="4" t="s">
        <v>735</v>
      </c>
      <c r="B1382" s="4" t="s">
        <v>49</v>
      </c>
      <c r="C1382" s="4" t="s">
        <v>12</v>
      </c>
      <c r="D1382" s="4">
        <v>25800984</v>
      </c>
      <c r="E1382" s="4">
        <v>30</v>
      </c>
      <c r="F1382" s="4" t="s">
        <v>1433</v>
      </c>
      <c r="G1382" s="4">
        <v>30</v>
      </c>
      <c r="H1382" s="4">
        <v>0</v>
      </c>
      <c r="I1382" s="4">
        <v>0</v>
      </c>
      <c r="J1382" s="4"/>
      <c r="K1382" s="4"/>
      <c r="L1382" s="4"/>
      <c r="M1382" s="4"/>
      <c r="N1382" s="4"/>
      <c r="O1382" s="4"/>
    </row>
    <row r="1383" spans="1:15" x14ac:dyDescent="0.3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</row>
    <row r="1384" spans="1:15" x14ac:dyDescent="0.3">
      <c r="A1384" s="4" t="s">
        <v>736</v>
      </c>
      <c r="B1384" s="4" t="s">
        <v>49</v>
      </c>
      <c r="C1384" s="4" t="s">
        <v>12</v>
      </c>
      <c r="D1384" s="4">
        <v>25800996</v>
      </c>
      <c r="E1384" s="4">
        <v>28</v>
      </c>
      <c r="F1384" s="4" t="s">
        <v>1433</v>
      </c>
      <c r="G1384" s="4">
        <v>28</v>
      </c>
      <c r="H1384" s="4">
        <v>0</v>
      </c>
      <c r="I1384" s="4">
        <v>0</v>
      </c>
      <c r="J1384" s="4"/>
      <c r="K1384" s="4"/>
      <c r="L1384" s="4"/>
      <c r="M1384" s="4"/>
      <c r="N1384" s="4"/>
      <c r="O1384" s="4"/>
    </row>
    <row r="1385" spans="1:15" x14ac:dyDescent="0.3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</row>
    <row r="1386" spans="1:15" x14ac:dyDescent="0.3">
      <c r="A1386" s="4" t="s">
        <v>737</v>
      </c>
      <c r="B1386" s="4" t="s">
        <v>49</v>
      </c>
      <c r="C1386" s="4" t="s">
        <v>12</v>
      </c>
      <c r="D1386" s="4">
        <v>25801014</v>
      </c>
      <c r="E1386" s="4">
        <v>14</v>
      </c>
      <c r="F1386" s="4" t="s">
        <v>1433</v>
      </c>
      <c r="G1386" s="4">
        <v>14</v>
      </c>
      <c r="H1386" s="4">
        <v>0</v>
      </c>
      <c r="I1386" s="4">
        <v>0</v>
      </c>
      <c r="J1386" s="4"/>
      <c r="K1386" s="4"/>
      <c r="L1386" s="4"/>
      <c r="M1386" s="4"/>
      <c r="N1386" s="4"/>
      <c r="O1386" s="4"/>
    </row>
    <row r="1387" spans="1:15" x14ac:dyDescent="0.3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</row>
    <row r="1388" spans="1:15" x14ac:dyDescent="0.3">
      <c r="A1388" s="4" t="s">
        <v>738</v>
      </c>
      <c r="B1388" s="4" t="s">
        <v>49</v>
      </c>
      <c r="C1388" s="4" t="s">
        <v>12</v>
      </c>
      <c r="D1388" s="4">
        <v>25801104</v>
      </c>
      <c r="E1388" s="4">
        <v>21</v>
      </c>
      <c r="F1388" s="4" t="s">
        <v>1433</v>
      </c>
      <c r="G1388" s="4">
        <v>21</v>
      </c>
      <c r="H1388" s="4">
        <v>0</v>
      </c>
      <c r="I1388" s="4">
        <v>0</v>
      </c>
      <c r="J1388" s="4"/>
      <c r="K1388" s="4"/>
      <c r="L1388" s="4"/>
      <c r="M1388" s="4"/>
      <c r="N1388" s="4"/>
      <c r="O1388" s="4"/>
    </row>
    <row r="1389" spans="1:15" x14ac:dyDescent="0.3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</row>
    <row r="1390" spans="1:15" x14ac:dyDescent="0.3">
      <c r="A1390" s="4" t="s">
        <v>739</v>
      </c>
      <c r="B1390" s="4" t="s">
        <v>49</v>
      </c>
      <c r="C1390" s="4" t="s">
        <v>12</v>
      </c>
      <c r="D1390" s="4">
        <v>25801236</v>
      </c>
      <c r="E1390" s="4">
        <v>32</v>
      </c>
      <c r="F1390" s="4" t="s">
        <v>1433</v>
      </c>
      <c r="G1390" s="4">
        <v>32</v>
      </c>
      <c r="H1390" s="4">
        <v>0</v>
      </c>
      <c r="I1390" s="4">
        <v>0</v>
      </c>
      <c r="J1390" s="4"/>
      <c r="K1390" s="4"/>
      <c r="L1390" s="4"/>
      <c r="M1390" s="4"/>
      <c r="N1390" s="4"/>
      <c r="O1390" s="4"/>
    </row>
    <row r="1391" spans="1:15" x14ac:dyDescent="0.3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</row>
    <row r="1392" spans="1:15" x14ac:dyDescent="0.3">
      <c r="A1392" s="4" t="s">
        <v>740</v>
      </c>
      <c r="B1392" s="4" t="s">
        <v>49</v>
      </c>
      <c r="C1392" s="4" t="s">
        <v>12</v>
      </c>
      <c r="D1392" s="4">
        <v>25801332</v>
      </c>
      <c r="E1392" s="4">
        <v>53</v>
      </c>
      <c r="F1392" s="4" t="s">
        <v>1433</v>
      </c>
      <c r="G1392" s="4">
        <v>53</v>
      </c>
      <c r="H1392" s="4">
        <v>0</v>
      </c>
      <c r="I1392" s="4">
        <v>0</v>
      </c>
      <c r="J1392" s="4"/>
      <c r="K1392" s="4"/>
      <c r="L1392" s="4"/>
      <c r="M1392" s="4"/>
      <c r="N1392" s="4"/>
      <c r="O1392" s="4"/>
    </row>
    <row r="1393" spans="1:15" x14ac:dyDescent="0.3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</row>
    <row r="1394" spans="1:15" x14ac:dyDescent="0.3">
      <c r="A1394" s="4" t="s">
        <v>741</v>
      </c>
      <c r="B1394" s="4" t="s">
        <v>49</v>
      </c>
      <c r="C1394" s="4" t="s">
        <v>12</v>
      </c>
      <c r="D1394" s="4">
        <v>25801356</v>
      </c>
      <c r="E1394" s="4">
        <v>53</v>
      </c>
      <c r="F1394" s="4" t="s">
        <v>1433</v>
      </c>
      <c r="G1394" s="4">
        <v>53</v>
      </c>
      <c r="H1394" s="4">
        <v>0</v>
      </c>
      <c r="I1394" s="4">
        <v>0</v>
      </c>
      <c r="J1394" s="4"/>
      <c r="K1394" s="4"/>
      <c r="L1394" s="4"/>
      <c r="M1394" s="4"/>
      <c r="N1394" s="4"/>
      <c r="O1394" s="4"/>
    </row>
    <row r="1395" spans="1:15" x14ac:dyDescent="0.3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</row>
    <row r="1396" spans="1:15" x14ac:dyDescent="0.3">
      <c r="A1396" s="4" t="s">
        <v>742</v>
      </c>
      <c r="B1396" s="4" t="s">
        <v>49</v>
      </c>
      <c r="C1396" s="4" t="s">
        <v>12</v>
      </c>
      <c r="D1396" s="4">
        <v>25801362</v>
      </c>
      <c r="E1396" s="4">
        <v>16</v>
      </c>
      <c r="F1396" s="4" t="s">
        <v>1433</v>
      </c>
      <c r="G1396" s="4">
        <v>16</v>
      </c>
      <c r="H1396" s="4">
        <v>0</v>
      </c>
      <c r="I1396" s="4">
        <v>0</v>
      </c>
      <c r="J1396" s="4"/>
      <c r="K1396" s="4"/>
      <c r="L1396" s="4"/>
      <c r="M1396" s="4"/>
      <c r="N1396" s="4"/>
      <c r="O1396" s="4"/>
    </row>
    <row r="1397" spans="1:15" x14ac:dyDescent="0.3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</row>
    <row r="1398" spans="1:15" x14ac:dyDescent="0.3">
      <c r="A1398" s="4" t="s">
        <v>743</v>
      </c>
      <c r="B1398" s="4" t="s">
        <v>49</v>
      </c>
      <c r="C1398" s="4" t="s">
        <v>12</v>
      </c>
      <c r="D1398" s="4">
        <v>25801416</v>
      </c>
      <c r="E1398" s="4">
        <v>16</v>
      </c>
      <c r="F1398" s="4" t="s">
        <v>1433</v>
      </c>
      <c r="G1398" s="4">
        <v>16</v>
      </c>
      <c r="H1398" s="4">
        <v>0</v>
      </c>
      <c r="I1398" s="4">
        <v>0</v>
      </c>
      <c r="J1398" s="4"/>
      <c r="K1398" s="4"/>
      <c r="L1398" s="4"/>
      <c r="M1398" s="4"/>
      <c r="N1398" s="4"/>
      <c r="O1398" s="4"/>
    </row>
    <row r="1399" spans="1:15" x14ac:dyDescent="0.3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</row>
    <row r="1400" spans="1:15" x14ac:dyDescent="0.3">
      <c r="A1400" s="4" t="s">
        <v>744</v>
      </c>
      <c r="B1400" s="4" t="s">
        <v>49</v>
      </c>
      <c r="C1400" s="4" t="s">
        <v>12</v>
      </c>
      <c r="D1400" s="4">
        <v>25801458</v>
      </c>
      <c r="E1400" s="4">
        <v>17</v>
      </c>
      <c r="F1400" s="4" t="s">
        <v>1433</v>
      </c>
      <c r="G1400" s="4">
        <v>17</v>
      </c>
      <c r="H1400" s="4">
        <v>0</v>
      </c>
      <c r="I1400" s="4">
        <v>0</v>
      </c>
      <c r="J1400" s="4"/>
      <c r="K1400" s="4"/>
      <c r="L1400" s="4"/>
      <c r="M1400" s="4"/>
      <c r="N1400" s="4"/>
      <c r="O1400" s="4"/>
    </row>
    <row r="1401" spans="1:15" x14ac:dyDescent="0.3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</row>
    <row r="1402" spans="1:15" x14ac:dyDescent="0.3">
      <c r="A1402" s="4" t="s">
        <v>745</v>
      </c>
      <c r="B1402" s="4" t="s">
        <v>49</v>
      </c>
      <c r="C1402" s="4" t="s">
        <v>12</v>
      </c>
      <c r="D1402" s="4">
        <v>25801566</v>
      </c>
      <c r="E1402" s="4">
        <v>33</v>
      </c>
      <c r="F1402" s="4" t="s">
        <v>1433</v>
      </c>
      <c r="G1402" s="4">
        <v>33</v>
      </c>
      <c r="H1402" s="4">
        <v>0</v>
      </c>
      <c r="I1402" s="4">
        <v>0</v>
      </c>
      <c r="J1402" s="4"/>
      <c r="K1402" s="4"/>
      <c r="L1402" s="4"/>
      <c r="M1402" s="4"/>
      <c r="N1402" s="4"/>
      <c r="O1402" s="4"/>
    </row>
    <row r="1403" spans="1:15" x14ac:dyDescent="0.3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</row>
    <row r="1404" spans="1:15" x14ac:dyDescent="0.3">
      <c r="A1404" s="4" t="s">
        <v>746</v>
      </c>
      <c r="B1404" s="4" t="s">
        <v>49</v>
      </c>
      <c r="C1404" s="4" t="s">
        <v>12</v>
      </c>
      <c r="D1404" s="4">
        <v>25801650</v>
      </c>
      <c r="E1404" s="4">
        <v>16</v>
      </c>
      <c r="F1404" s="4" t="s">
        <v>1433</v>
      </c>
      <c r="G1404" s="4">
        <v>16</v>
      </c>
      <c r="H1404" s="4">
        <v>0</v>
      </c>
      <c r="I1404" s="4">
        <v>0</v>
      </c>
      <c r="J1404" s="4"/>
      <c r="K1404" s="4"/>
      <c r="L1404" s="4"/>
      <c r="M1404" s="4"/>
      <c r="N1404" s="4"/>
      <c r="O1404" s="4"/>
    </row>
    <row r="1405" spans="1:15" x14ac:dyDescent="0.3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</row>
    <row r="1406" spans="1:15" x14ac:dyDescent="0.3">
      <c r="A1406" s="4" t="s">
        <v>747</v>
      </c>
      <c r="B1406" s="4" t="s">
        <v>49</v>
      </c>
      <c r="C1406" s="4" t="s">
        <v>12</v>
      </c>
      <c r="D1406" s="4">
        <v>25801908</v>
      </c>
      <c r="E1406" s="4">
        <v>53</v>
      </c>
      <c r="F1406" s="4" t="s">
        <v>1433</v>
      </c>
      <c r="G1406" s="4">
        <v>53</v>
      </c>
      <c r="H1406" s="4">
        <v>0</v>
      </c>
      <c r="I1406" s="4">
        <v>0</v>
      </c>
      <c r="J1406" s="4"/>
      <c r="K1406" s="4"/>
      <c r="L1406" s="4"/>
      <c r="M1406" s="4"/>
      <c r="N1406" s="4"/>
      <c r="O1406" s="4"/>
    </row>
    <row r="1407" spans="1:15" x14ac:dyDescent="0.3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</row>
    <row r="1408" spans="1:15" x14ac:dyDescent="0.3">
      <c r="A1408" s="4" t="s">
        <v>748</v>
      </c>
      <c r="B1408" s="4" t="s">
        <v>49</v>
      </c>
      <c r="C1408" s="4" t="s">
        <v>12</v>
      </c>
      <c r="D1408" s="4">
        <v>25801968</v>
      </c>
      <c r="E1408" s="4">
        <v>11</v>
      </c>
      <c r="F1408" s="4" t="s">
        <v>1433</v>
      </c>
      <c r="G1408" s="4">
        <v>11</v>
      </c>
      <c r="H1408" s="4">
        <v>0</v>
      </c>
      <c r="I1408" s="4">
        <v>0</v>
      </c>
      <c r="J1408" s="4"/>
      <c r="K1408" s="4"/>
      <c r="L1408" s="4"/>
      <c r="M1408" s="4"/>
      <c r="N1408" s="4"/>
      <c r="O1408" s="4"/>
    </row>
    <row r="1409" spans="1:15" x14ac:dyDescent="0.3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</row>
    <row r="1410" spans="1:15" x14ac:dyDescent="0.3">
      <c r="A1410" s="4" t="s">
        <v>749</v>
      </c>
      <c r="B1410" s="4" t="s">
        <v>49</v>
      </c>
      <c r="C1410" s="4" t="s">
        <v>12</v>
      </c>
      <c r="D1410" s="4">
        <v>25801992</v>
      </c>
      <c r="E1410" s="4">
        <v>17</v>
      </c>
      <c r="F1410" s="4" t="s">
        <v>1433</v>
      </c>
      <c r="G1410" s="4">
        <v>17</v>
      </c>
      <c r="H1410" s="4">
        <v>0</v>
      </c>
      <c r="I1410" s="4">
        <v>0</v>
      </c>
      <c r="J1410" s="4"/>
      <c r="K1410" s="4"/>
      <c r="L1410" s="4"/>
      <c r="M1410" s="4"/>
      <c r="N1410" s="4"/>
      <c r="O1410" s="4"/>
    </row>
    <row r="1411" spans="1:15" x14ac:dyDescent="0.3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</row>
    <row r="1412" spans="1:15" x14ac:dyDescent="0.3">
      <c r="A1412" s="4" t="s">
        <v>750</v>
      </c>
      <c r="B1412" s="4" t="s">
        <v>49</v>
      </c>
      <c r="C1412" s="4" t="s">
        <v>12</v>
      </c>
      <c r="D1412" s="4">
        <v>25802154</v>
      </c>
      <c r="E1412" s="4">
        <v>13</v>
      </c>
      <c r="F1412" s="4" t="s">
        <v>1433</v>
      </c>
      <c r="G1412" s="4">
        <v>13</v>
      </c>
      <c r="H1412" s="4">
        <v>0</v>
      </c>
      <c r="I1412" s="4">
        <v>0</v>
      </c>
      <c r="J1412" s="4"/>
      <c r="K1412" s="4"/>
      <c r="L1412" s="4"/>
      <c r="M1412" s="4"/>
      <c r="N1412" s="4"/>
      <c r="O1412" s="4"/>
    </row>
    <row r="1413" spans="1:15" x14ac:dyDescent="0.3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</row>
    <row r="1414" spans="1:15" x14ac:dyDescent="0.3">
      <c r="A1414" s="4" t="s">
        <v>751</v>
      </c>
      <c r="B1414" s="4" t="s">
        <v>49</v>
      </c>
      <c r="C1414" s="4" t="s">
        <v>12</v>
      </c>
      <c r="D1414" s="4">
        <v>25802466</v>
      </c>
      <c r="E1414" s="4">
        <v>78</v>
      </c>
      <c r="F1414" s="4" t="s">
        <v>1433</v>
      </c>
      <c r="G1414" s="4">
        <v>78</v>
      </c>
      <c r="H1414" s="4">
        <v>0</v>
      </c>
      <c r="I1414" s="4">
        <v>0</v>
      </c>
      <c r="J1414" s="4"/>
      <c r="K1414" s="4"/>
      <c r="L1414" s="4"/>
      <c r="M1414" s="4"/>
      <c r="N1414" s="4"/>
      <c r="O1414" s="4"/>
    </row>
    <row r="1415" spans="1:15" x14ac:dyDescent="0.3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</row>
    <row r="1416" spans="1:15" x14ac:dyDescent="0.3">
      <c r="A1416" s="4" t="s">
        <v>752</v>
      </c>
      <c r="B1416" s="4" t="s">
        <v>49</v>
      </c>
      <c r="C1416" s="4" t="s">
        <v>12</v>
      </c>
      <c r="D1416" s="4">
        <v>25802760</v>
      </c>
      <c r="E1416" s="4">
        <v>55</v>
      </c>
      <c r="F1416" s="4" t="s">
        <v>1433</v>
      </c>
      <c r="G1416" s="4">
        <v>55</v>
      </c>
      <c r="H1416" s="4">
        <v>0</v>
      </c>
      <c r="I1416" s="4">
        <v>0</v>
      </c>
      <c r="J1416" s="4"/>
      <c r="K1416" s="4"/>
      <c r="L1416" s="4"/>
      <c r="M1416" s="4"/>
      <c r="N1416" s="4"/>
      <c r="O1416" s="4"/>
    </row>
    <row r="1417" spans="1:15" x14ac:dyDescent="0.3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</row>
    <row r="1418" spans="1:15" x14ac:dyDescent="0.3">
      <c r="A1418" s="4" t="s">
        <v>753</v>
      </c>
      <c r="B1418" s="4" t="s">
        <v>49</v>
      </c>
      <c r="C1418" s="4" t="s">
        <v>12</v>
      </c>
      <c r="D1418" s="4">
        <v>25802886</v>
      </c>
      <c r="E1418" s="4">
        <v>108</v>
      </c>
      <c r="F1418" s="4" t="s">
        <v>1433</v>
      </c>
      <c r="G1418" s="4">
        <v>108</v>
      </c>
      <c r="H1418" s="4">
        <v>0</v>
      </c>
      <c r="I1418" s="4">
        <v>0</v>
      </c>
      <c r="J1418" s="4"/>
      <c r="K1418" s="4"/>
      <c r="L1418" s="4"/>
      <c r="M1418" s="4"/>
      <c r="N1418" s="4"/>
      <c r="O1418" s="4"/>
    </row>
    <row r="1419" spans="1:15" x14ac:dyDescent="0.3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</row>
    <row r="1420" spans="1:15" x14ac:dyDescent="0.3">
      <c r="A1420" s="4" t="s">
        <v>754</v>
      </c>
      <c r="B1420" s="4" t="s">
        <v>49</v>
      </c>
      <c r="C1420" s="4" t="s">
        <v>12</v>
      </c>
      <c r="D1420" s="4">
        <v>25815546</v>
      </c>
      <c r="E1420" s="4">
        <v>19</v>
      </c>
      <c r="F1420" s="4" t="s">
        <v>1433</v>
      </c>
      <c r="G1420" s="4">
        <v>19</v>
      </c>
      <c r="H1420" s="4">
        <v>0</v>
      </c>
      <c r="I1420" s="4">
        <v>0</v>
      </c>
      <c r="J1420" s="4"/>
      <c r="K1420" s="4"/>
      <c r="L1420" s="4"/>
      <c r="M1420" s="4"/>
      <c r="N1420" s="4"/>
      <c r="O1420" s="4"/>
    </row>
    <row r="1421" spans="1:15" x14ac:dyDescent="0.3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</row>
    <row r="1422" spans="1:15" x14ac:dyDescent="0.3">
      <c r="A1422" s="4" t="s">
        <v>755</v>
      </c>
      <c r="B1422" s="4" t="s">
        <v>49</v>
      </c>
      <c r="C1422" s="4" t="s">
        <v>12</v>
      </c>
      <c r="D1422" s="4">
        <v>25825656</v>
      </c>
      <c r="E1422" s="4">
        <v>20</v>
      </c>
      <c r="F1422" s="4" t="s">
        <v>1433</v>
      </c>
      <c r="G1422" s="4">
        <v>20</v>
      </c>
      <c r="H1422" s="4">
        <v>0</v>
      </c>
      <c r="I1422" s="4">
        <v>0</v>
      </c>
      <c r="J1422" s="4"/>
      <c r="K1422" s="4"/>
      <c r="L1422" s="4"/>
      <c r="M1422" s="4"/>
      <c r="N1422" s="4"/>
      <c r="O1422" s="4"/>
    </row>
    <row r="1423" spans="1:15" x14ac:dyDescent="0.3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</row>
    <row r="1424" spans="1:15" x14ac:dyDescent="0.3">
      <c r="A1424" s="4" t="s">
        <v>756</v>
      </c>
      <c r="B1424" s="4" t="s">
        <v>49</v>
      </c>
      <c r="C1424" s="4" t="s">
        <v>12</v>
      </c>
      <c r="D1424" s="4">
        <v>25826676</v>
      </c>
      <c r="E1424" s="4">
        <v>15</v>
      </c>
      <c r="F1424" s="4" t="s">
        <v>1433</v>
      </c>
      <c r="G1424" s="4">
        <v>15</v>
      </c>
      <c r="H1424" s="4">
        <v>0</v>
      </c>
      <c r="I1424" s="4">
        <v>0</v>
      </c>
      <c r="J1424" s="4"/>
      <c r="K1424" s="4"/>
      <c r="L1424" s="4"/>
      <c r="M1424" s="4"/>
      <c r="N1424" s="4"/>
      <c r="O1424" s="4"/>
    </row>
    <row r="1425" spans="1:15" x14ac:dyDescent="0.3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</row>
    <row r="1426" spans="1:15" x14ac:dyDescent="0.3">
      <c r="A1426" s="4" t="s">
        <v>757</v>
      </c>
      <c r="B1426" s="4" t="s">
        <v>49</v>
      </c>
      <c r="C1426" s="4" t="s">
        <v>12</v>
      </c>
      <c r="D1426" s="4">
        <v>25829166</v>
      </c>
      <c r="E1426" s="4">
        <v>16</v>
      </c>
      <c r="F1426" s="4" t="s">
        <v>1433</v>
      </c>
      <c r="G1426" s="4">
        <v>16</v>
      </c>
      <c r="H1426" s="4">
        <v>0</v>
      </c>
      <c r="I1426" s="4">
        <v>0</v>
      </c>
      <c r="J1426" s="4"/>
      <c r="K1426" s="4"/>
      <c r="L1426" s="4"/>
      <c r="M1426" s="4"/>
      <c r="N1426" s="4"/>
      <c r="O1426" s="4"/>
    </row>
    <row r="1427" spans="1:15" x14ac:dyDescent="0.3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</row>
    <row r="1428" spans="1:15" x14ac:dyDescent="0.3">
      <c r="A1428" s="4" t="s">
        <v>758</v>
      </c>
      <c r="B1428" s="4" t="s">
        <v>49</v>
      </c>
      <c r="C1428" s="4" t="s">
        <v>12</v>
      </c>
      <c r="D1428" s="4">
        <v>25839708</v>
      </c>
      <c r="E1428" s="4">
        <v>27</v>
      </c>
      <c r="F1428" s="4" t="s">
        <v>1433</v>
      </c>
      <c r="G1428" s="4">
        <v>27</v>
      </c>
      <c r="H1428" s="4">
        <v>0</v>
      </c>
      <c r="I1428" s="4">
        <v>0</v>
      </c>
      <c r="J1428" s="4"/>
      <c r="K1428" s="4"/>
      <c r="L1428" s="4"/>
      <c r="M1428" s="4"/>
      <c r="N1428" s="4"/>
      <c r="O1428" s="4"/>
    </row>
    <row r="1429" spans="1:15" x14ac:dyDescent="0.3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</row>
    <row r="1430" spans="1:15" x14ac:dyDescent="0.3">
      <c r="A1430" s="4" t="s">
        <v>759</v>
      </c>
      <c r="B1430" s="4" t="s">
        <v>49</v>
      </c>
      <c r="C1430" s="4" t="s">
        <v>12</v>
      </c>
      <c r="D1430" s="4">
        <v>25839720</v>
      </c>
      <c r="E1430" s="4">
        <v>15</v>
      </c>
      <c r="F1430" s="4" t="s">
        <v>1433</v>
      </c>
      <c r="G1430" s="4">
        <v>15</v>
      </c>
      <c r="H1430" s="4">
        <v>0</v>
      </c>
      <c r="I1430" s="4">
        <v>0</v>
      </c>
      <c r="J1430" s="4"/>
      <c r="K1430" s="4"/>
      <c r="L1430" s="4"/>
      <c r="M1430" s="4"/>
      <c r="N1430" s="4"/>
      <c r="O1430" s="4"/>
    </row>
    <row r="1431" spans="1:15" x14ac:dyDescent="0.3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</row>
    <row r="1432" spans="1:15" x14ac:dyDescent="0.3">
      <c r="A1432" s="4" t="s">
        <v>760</v>
      </c>
      <c r="B1432" s="4" t="s">
        <v>49</v>
      </c>
      <c r="C1432" s="4" t="s">
        <v>12</v>
      </c>
      <c r="D1432" s="4">
        <v>25839822</v>
      </c>
      <c r="E1432" s="4">
        <v>72</v>
      </c>
      <c r="F1432" s="4" t="s">
        <v>1433</v>
      </c>
      <c r="G1432" s="4">
        <v>72</v>
      </c>
      <c r="H1432" s="4">
        <v>0</v>
      </c>
      <c r="I1432" s="4">
        <v>0</v>
      </c>
      <c r="J1432" s="4"/>
      <c r="K1432" s="4"/>
      <c r="L1432" s="4"/>
      <c r="M1432" s="4"/>
      <c r="N1432" s="4"/>
      <c r="O1432" s="4"/>
    </row>
    <row r="1433" spans="1:15" x14ac:dyDescent="0.3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</row>
    <row r="1434" spans="1:15" x14ac:dyDescent="0.3">
      <c r="A1434" s="4" t="s">
        <v>761</v>
      </c>
      <c r="B1434" s="4" t="s">
        <v>49</v>
      </c>
      <c r="C1434" s="4" t="s">
        <v>12</v>
      </c>
      <c r="D1434" s="4">
        <v>25839984</v>
      </c>
      <c r="E1434" s="4">
        <v>15</v>
      </c>
      <c r="F1434" s="4" t="s">
        <v>1433</v>
      </c>
      <c r="G1434" s="4">
        <v>15</v>
      </c>
      <c r="H1434" s="4">
        <v>0</v>
      </c>
      <c r="I1434" s="4">
        <v>0</v>
      </c>
      <c r="J1434" s="4"/>
      <c r="K1434" s="4"/>
      <c r="L1434" s="4"/>
      <c r="M1434" s="4"/>
      <c r="N1434" s="4"/>
      <c r="O1434" s="4"/>
    </row>
    <row r="1435" spans="1:15" x14ac:dyDescent="0.3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</row>
    <row r="1436" spans="1:15" x14ac:dyDescent="0.3">
      <c r="A1436" s="4" t="s">
        <v>762</v>
      </c>
      <c r="B1436" s="4" t="s">
        <v>49</v>
      </c>
      <c r="C1436" s="4" t="s">
        <v>12</v>
      </c>
      <c r="D1436" s="4">
        <v>25840182</v>
      </c>
      <c r="E1436" s="4">
        <v>24</v>
      </c>
      <c r="F1436" s="4" t="s">
        <v>1433</v>
      </c>
      <c r="G1436" s="4">
        <v>24</v>
      </c>
      <c r="H1436" s="4">
        <v>0</v>
      </c>
      <c r="I1436" s="4">
        <v>0</v>
      </c>
      <c r="J1436" s="4"/>
      <c r="K1436" s="4"/>
      <c r="L1436" s="4"/>
      <c r="M1436" s="4"/>
      <c r="N1436" s="4"/>
      <c r="O1436" s="4"/>
    </row>
    <row r="1437" spans="1:15" x14ac:dyDescent="0.3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</row>
    <row r="1438" spans="1:15" x14ac:dyDescent="0.3">
      <c r="A1438" s="4" t="s">
        <v>763</v>
      </c>
      <c r="B1438" s="4" t="s">
        <v>49</v>
      </c>
      <c r="C1438" s="4" t="s">
        <v>12</v>
      </c>
      <c r="D1438" s="4">
        <v>25840236</v>
      </c>
      <c r="E1438" s="4">
        <v>23</v>
      </c>
      <c r="F1438" s="4" t="s">
        <v>1433</v>
      </c>
      <c r="G1438" s="4">
        <v>23</v>
      </c>
      <c r="H1438" s="4">
        <v>0</v>
      </c>
      <c r="I1438" s="4">
        <v>0</v>
      </c>
      <c r="J1438" s="4"/>
      <c r="K1438" s="4"/>
      <c r="L1438" s="4"/>
      <c r="M1438" s="4"/>
      <c r="N1438" s="4"/>
      <c r="O1438" s="4"/>
    </row>
    <row r="1439" spans="1:15" x14ac:dyDescent="0.3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</row>
    <row r="1440" spans="1:15" x14ac:dyDescent="0.3">
      <c r="A1440" s="4" t="s">
        <v>764</v>
      </c>
      <c r="B1440" s="4" t="s">
        <v>49</v>
      </c>
      <c r="C1440" s="4" t="s">
        <v>12</v>
      </c>
      <c r="D1440" s="4">
        <v>25840518</v>
      </c>
      <c r="E1440" s="4">
        <v>29</v>
      </c>
      <c r="F1440" s="4" t="s">
        <v>1433</v>
      </c>
      <c r="G1440" s="4">
        <v>29</v>
      </c>
      <c r="H1440" s="4">
        <v>0</v>
      </c>
      <c r="I1440" s="4">
        <v>0</v>
      </c>
      <c r="J1440" s="4"/>
      <c r="K1440" s="4"/>
      <c r="L1440" s="4"/>
      <c r="M1440" s="4"/>
      <c r="N1440" s="4"/>
      <c r="O1440" s="4"/>
    </row>
    <row r="1441" spans="1:15" x14ac:dyDescent="0.3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</row>
    <row r="1442" spans="1:15" x14ac:dyDescent="0.3">
      <c r="A1442" s="4" t="s">
        <v>765</v>
      </c>
      <c r="B1442" s="4" t="s">
        <v>49</v>
      </c>
      <c r="C1442" s="4" t="s">
        <v>12</v>
      </c>
      <c r="D1442" s="4">
        <v>25840590</v>
      </c>
      <c r="E1442" s="4">
        <v>43</v>
      </c>
      <c r="F1442" s="4" t="s">
        <v>1433</v>
      </c>
      <c r="G1442" s="4">
        <v>43</v>
      </c>
      <c r="H1442" s="4">
        <v>0</v>
      </c>
      <c r="I1442" s="4">
        <v>0</v>
      </c>
      <c r="J1442" s="4"/>
      <c r="K1442" s="4"/>
      <c r="L1442" s="4"/>
      <c r="M1442" s="4"/>
      <c r="N1442" s="4"/>
      <c r="O1442" s="4"/>
    </row>
    <row r="1443" spans="1:15" x14ac:dyDescent="0.3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</row>
    <row r="1444" spans="1:15" x14ac:dyDescent="0.3">
      <c r="A1444" s="4" t="s">
        <v>766</v>
      </c>
      <c r="B1444" s="4" t="s">
        <v>49</v>
      </c>
      <c r="C1444" s="4" t="s">
        <v>12</v>
      </c>
      <c r="D1444" s="4">
        <v>25840662</v>
      </c>
      <c r="E1444" s="4">
        <v>18</v>
      </c>
      <c r="F1444" s="4" t="s">
        <v>1433</v>
      </c>
      <c r="G1444" s="4">
        <v>18</v>
      </c>
      <c r="H1444" s="4">
        <v>0</v>
      </c>
      <c r="I1444" s="4">
        <v>0</v>
      </c>
      <c r="J1444" s="4"/>
      <c r="K1444" s="4"/>
      <c r="L1444" s="4"/>
      <c r="M1444" s="4"/>
      <c r="N1444" s="4"/>
      <c r="O1444" s="4"/>
    </row>
    <row r="1445" spans="1:15" x14ac:dyDescent="0.3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</row>
    <row r="1446" spans="1:15" x14ac:dyDescent="0.3">
      <c r="A1446" s="4" t="s">
        <v>767</v>
      </c>
      <c r="B1446" s="4" t="s">
        <v>49</v>
      </c>
      <c r="C1446" s="4" t="s">
        <v>12</v>
      </c>
      <c r="D1446" s="4">
        <v>25840710</v>
      </c>
      <c r="E1446" s="4">
        <v>28</v>
      </c>
      <c r="F1446" s="4" t="s">
        <v>1433</v>
      </c>
      <c r="G1446" s="4">
        <v>28</v>
      </c>
      <c r="H1446" s="4">
        <v>0</v>
      </c>
      <c r="I1446" s="4">
        <v>0</v>
      </c>
      <c r="J1446" s="4"/>
      <c r="K1446" s="4"/>
      <c r="L1446" s="4"/>
      <c r="M1446" s="4"/>
      <c r="N1446" s="4"/>
      <c r="O1446" s="4"/>
    </row>
    <row r="1447" spans="1:15" x14ac:dyDescent="0.3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</row>
    <row r="1448" spans="1:15" x14ac:dyDescent="0.3">
      <c r="A1448" s="4" t="s">
        <v>768</v>
      </c>
      <c r="B1448" s="4" t="s">
        <v>49</v>
      </c>
      <c r="C1448" s="4" t="s">
        <v>12</v>
      </c>
      <c r="D1448" s="4">
        <v>25840794</v>
      </c>
      <c r="E1448" s="4">
        <v>31</v>
      </c>
      <c r="F1448" s="4" t="s">
        <v>1433</v>
      </c>
      <c r="G1448" s="4">
        <v>31</v>
      </c>
      <c r="H1448" s="4">
        <v>0</v>
      </c>
      <c r="I1448" s="4">
        <v>0</v>
      </c>
      <c r="J1448" s="4"/>
      <c r="K1448" s="4"/>
      <c r="L1448" s="4"/>
      <c r="M1448" s="4"/>
      <c r="N1448" s="4"/>
      <c r="O1448" s="4"/>
    </row>
    <row r="1449" spans="1:15" x14ac:dyDescent="0.3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</row>
    <row r="1450" spans="1:15" x14ac:dyDescent="0.3">
      <c r="A1450" s="4" t="s">
        <v>769</v>
      </c>
      <c r="B1450" s="4" t="s">
        <v>49</v>
      </c>
      <c r="C1450" s="4" t="s">
        <v>12</v>
      </c>
      <c r="D1450" s="4">
        <v>25840818</v>
      </c>
      <c r="E1450" s="4">
        <v>16</v>
      </c>
      <c r="F1450" s="4" t="s">
        <v>1433</v>
      </c>
      <c r="G1450" s="4">
        <v>16</v>
      </c>
      <c r="H1450" s="4">
        <v>0</v>
      </c>
      <c r="I1450" s="4">
        <v>0</v>
      </c>
      <c r="J1450" s="4"/>
      <c r="K1450" s="4"/>
      <c r="L1450" s="4"/>
      <c r="M1450" s="4"/>
      <c r="N1450" s="4"/>
      <c r="O1450" s="4"/>
    </row>
    <row r="1451" spans="1:15" x14ac:dyDescent="0.3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</row>
    <row r="1452" spans="1:15" x14ac:dyDescent="0.3">
      <c r="A1452" s="4" t="s">
        <v>770</v>
      </c>
      <c r="B1452" s="4" t="s">
        <v>49</v>
      </c>
      <c r="C1452" s="4" t="s">
        <v>12</v>
      </c>
      <c r="D1452" s="4">
        <v>25841082</v>
      </c>
      <c r="E1452" s="4">
        <v>21</v>
      </c>
      <c r="F1452" s="4" t="s">
        <v>1433</v>
      </c>
      <c r="G1452" s="4">
        <v>21</v>
      </c>
      <c r="H1452" s="4">
        <v>0</v>
      </c>
      <c r="I1452" s="4">
        <v>0</v>
      </c>
      <c r="J1452" s="4"/>
      <c r="K1452" s="4"/>
      <c r="L1452" s="4"/>
      <c r="M1452" s="4"/>
      <c r="N1452" s="4"/>
      <c r="O1452" s="4"/>
    </row>
    <row r="1453" spans="1:15" x14ac:dyDescent="0.3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</row>
    <row r="1454" spans="1:15" x14ac:dyDescent="0.3">
      <c r="A1454" s="4" t="s">
        <v>771</v>
      </c>
      <c r="B1454" s="4" t="s">
        <v>49</v>
      </c>
      <c r="C1454" s="4" t="s">
        <v>12</v>
      </c>
      <c r="D1454" s="4">
        <v>25841112</v>
      </c>
      <c r="E1454" s="4">
        <v>91</v>
      </c>
      <c r="F1454" s="4" t="s">
        <v>1433</v>
      </c>
      <c r="G1454" s="4">
        <v>91</v>
      </c>
      <c r="H1454" s="4">
        <v>0</v>
      </c>
      <c r="I1454" s="4">
        <v>0</v>
      </c>
      <c r="J1454" s="4"/>
      <c r="K1454" s="4"/>
      <c r="L1454" s="4"/>
      <c r="M1454" s="4"/>
      <c r="N1454" s="4"/>
      <c r="O1454" s="4"/>
    </row>
    <row r="1455" spans="1:15" x14ac:dyDescent="0.3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</row>
    <row r="1456" spans="1:15" x14ac:dyDescent="0.3">
      <c r="A1456" s="4" t="s">
        <v>772</v>
      </c>
      <c r="B1456" s="4" t="s">
        <v>49</v>
      </c>
      <c r="C1456" s="4" t="s">
        <v>12</v>
      </c>
      <c r="D1456" s="4">
        <v>25841196</v>
      </c>
      <c r="E1456" s="4">
        <v>18</v>
      </c>
      <c r="F1456" s="4" t="s">
        <v>1433</v>
      </c>
      <c r="G1456" s="4">
        <v>18</v>
      </c>
      <c r="H1456" s="4">
        <v>0</v>
      </c>
      <c r="I1456" s="4">
        <v>0</v>
      </c>
      <c r="J1456" s="4"/>
      <c r="K1456" s="4"/>
      <c r="L1456" s="4"/>
      <c r="M1456" s="4"/>
      <c r="N1456" s="4"/>
      <c r="O1456" s="4"/>
    </row>
    <row r="1457" spans="1:15" x14ac:dyDescent="0.3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</row>
    <row r="1458" spans="1:15" x14ac:dyDescent="0.3">
      <c r="A1458" s="4" t="s">
        <v>773</v>
      </c>
      <c r="B1458" s="4" t="s">
        <v>49</v>
      </c>
      <c r="C1458" s="4" t="s">
        <v>12</v>
      </c>
      <c r="D1458" s="4">
        <v>25841214</v>
      </c>
      <c r="E1458" s="4">
        <v>68</v>
      </c>
      <c r="F1458" s="4" t="s">
        <v>1433</v>
      </c>
      <c r="G1458" s="4">
        <v>68</v>
      </c>
      <c r="H1458" s="4">
        <v>0</v>
      </c>
      <c r="I1458" s="4">
        <v>0</v>
      </c>
      <c r="J1458" s="4"/>
      <c r="K1458" s="4"/>
      <c r="L1458" s="4"/>
      <c r="M1458" s="4"/>
      <c r="N1458" s="4"/>
      <c r="O1458" s="4"/>
    </row>
    <row r="1459" spans="1:15" x14ac:dyDescent="0.3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</row>
    <row r="1460" spans="1:15" x14ac:dyDescent="0.3">
      <c r="A1460" s="4" t="s">
        <v>774</v>
      </c>
      <c r="B1460" s="4" t="s">
        <v>49</v>
      </c>
      <c r="C1460" s="4" t="s">
        <v>12</v>
      </c>
      <c r="D1460" s="4">
        <v>25841226</v>
      </c>
      <c r="E1460" s="4">
        <v>10</v>
      </c>
      <c r="F1460" s="4" t="s">
        <v>1433</v>
      </c>
      <c r="G1460" s="4">
        <v>10</v>
      </c>
      <c r="H1460" s="4">
        <v>0</v>
      </c>
      <c r="I1460" s="4">
        <v>0</v>
      </c>
      <c r="J1460" s="4"/>
      <c r="K1460" s="4"/>
      <c r="L1460" s="4"/>
      <c r="M1460" s="4"/>
      <c r="N1460" s="4"/>
      <c r="O1460" s="4"/>
    </row>
    <row r="1461" spans="1:15" x14ac:dyDescent="0.3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</row>
    <row r="1462" spans="1:15" x14ac:dyDescent="0.3">
      <c r="A1462" s="4" t="s">
        <v>775</v>
      </c>
      <c r="B1462" s="4" t="s">
        <v>49</v>
      </c>
      <c r="C1462" s="4" t="s">
        <v>12</v>
      </c>
      <c r="D1462" s="4">
        <v>25841250</v>
      </c>
      <c r="E1462" s="4">
        <v>20</v>
      </c>
      <c r="F1462" s="4" t="s">
        <v>1433</v>
      </c>
      <c r="G1462" s="4">
        <v>20</v>
      </c>
      <c r="H1462" s="4">
        <v>0</v>
      </c>
      <c r="I1462" s="4">
        <v>0</v>
      </c>
      <c r="J1462" s="4"/>
      <c r="K1462" s="4"/>
      <c r="L1462" s="4"/>
      <c r="M1462" s="4"/>
      <c r="N1462" s="4"/>
      <c r="O1462" s="4"/>
    </row>
    <row r="1463" spans="1:15" x14ac:dyDescent="0.3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</row>
    <row r="1464" spans="1:15" x14ac:dyDescent="0.3">
      <c r="A1464" s="4" t="s">
        <v>776</v>
      </c>
      <c r="B1464" s="4" t="s">
        <v>49</v>
      </c>
      <c r="C1464" s="4" t="s">
        <v>12</v>
      </c>
      <c r="D1464" s="4">
        <v>25841328</v>
      </c>
      <c r="E1464" s="4">
        <v>18</v>
      </c>
      <c r="F1464" s="4" t="s">
        <v>1433</v>
      </c>
      <c r="G1464" s="4">
        <v>18</v>
      </c>
      <c r="H1464" s="4">
        <v>0</v>
      </c>
      <c r="I1464" s="4">
        <v>0</v>
      </c>
      <c r="J1464" s="4"/>
      <c r="K1464" s="4"/>
      <c r="L1464" s="4"/>
      <c r="M1464" s="4"/>
      <c r="N1464" s="4"/>
      <c r="O1464" s="4"/>
    </row>
    <row r="1465" spans="1:15" x14ac:dyDescent="0.3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</row>
    <row r="1466" spans="1:15" x14ac:dyDescent="0.3">
      <c r="A1466" s="4" t="s">
        <v>777</v>
      </c>
      <c r="B1466" s="4" t="s">
        <v>49</v>
      </c>
      <c r="C1466" s="4" t="s">
        <v>12</v>
      </c>
      <c r="D1466" s="4">
        <v>25841340</v>
      </c>
      <c r="E1466" s="4">
        <v>28</v>
      </c>
      <c r="F1466" s="4" t="s">
        <v>1433</v>
      </c>
      <c r="G1466" s="4">
        <v>28</v>
      </c>
      <c r="H1466" s="4">
        <v>0</v>
      </c>
      <c r="I1466" s="4">
        <v>0</v>
      </c>
      <c r="J1466" s="4"/>
      <c r="K1466" s="4"/>
      <c r="L1466" s="4"/>
      <c r="M1466" s="4"/>
      <c r="N1466" s="4"/>
      <c r="O1466" s="4"/>
    </row>
    <row r="1467" spans="1:15" x14ac:dyDescent="0.3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</row>
    <row r="1468" spans="1:15" x14ac:dyDescent="0.3">
      <c r="A1468" s="4" t="s">
        <v>778</v>
      </c>
      <c r="B1468" s="4" t="s">
        <v>49</v>
      </c>
      <c r="C1468" s="4" t="s">
        <v>12</v>
      </c>
      <c r="D1468" s="4">
        <v>25841346</v>
      </c>
      <c r="E1468" s="4">
        <v>111</v>
      </c>
      <c r="F1468" s="4" t="s">
        <v>1433</v>
      </c>
      <c r="G1468" s="4">
        <v>111</v>
      </c>
      <c r="H1468" s="4">
        <v>0</v>
      </c>
      <c r="I1468" s="4">
        <v>0</v>
      </c>
      <c r="J1468" s="4"/>
      <c r="K1468" s="4"/>
      <c r="L1468" s="4"/>
      <c r="M1468" s="4"/>
      <c r="N1468" s="4"/>
      <c r="O1468" s="4"/>
    </row>
    <row r="1469" spans="1:15" x14ac:dyDescent="0.3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</row>
    <row r="1470" spans="1:15" x14ac:dyDescent="0.3">
      <c r="A1470" s="4" t="s">
        <v>779</v>
      </c>
      <c r="B1470" s="4" t="s">
        <v>49</v>
      </c>
      <c r="C1470" s="4" t="s">
        <v>12</v>
      </c>
      <c r="D1470" s="4">
        <v>25841424</v>
      </c>
      <c r="E1470" s="4">
        <v>17</v>
      </c>
      <c r="F1470" s="4" t="s">
        <v>1433</v>
      </c>
      <c r="G1470" s="4">
        <v>17</v>
      </c>
      <c r="H1470" s="4">
        <v>0</v>
      </c>
      <c r="I1470" s="4">
        <v>0</v>
      </c>
      <c r="J1470" s="4"/>
      <c r="K1470" s="4"/>
      <c r="L1470" s="4"/>
      <c r="M1470" s="4"/>
      <c r="N1470" s="4"/>
      <c r="O1470" s="4"/>
    </row>
    <row r="1471" spans="1:15" x14ac:dyDescent="0.3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</row>
    <row r="1472" spans="1:15" x14ac:dyDescent="0.3">
      <c r="A1472" s="4" t="s">
        <v>780</v>
      </c>
      <c r="B1472" s="4" t="s">
        <v>49</v>
      </c>
      <c r="C1472" s="4" t="s">
        <v>12</v>
      </c>
      <c r="D1472" s="4">
        <v>25841592</v>
      </c>
      <c r="E1472" s="4">
        <v>25</v>
      </c>
      <c r="F1472" s="4" t="s">
        <v>1433</v>
      </c>
      <c r="G1472" s="4">
        <v>25</v>
      </c>
      <c r="H1472" s="4">
        <v>0</v>
      </c>
      <c r="I1472" s="4">
        <v>0</v>
      </c>
      <c r="J1472" s="4"/>
      <c r="K1472" s="4"/>
      <c r="L1472" s="4"/>
      <c r="M1472" s="4"/>
      <c r="N1472" s="4"/>
      <c r="O1472" s="4"/>
    </row>
    <row r="1473" spans="1:15" x14ac:dyDescent="0.3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</row>
    <row r="1474" spans="1:15" x14ac:dyDescent="0.3">
      <c r="A1474" s="4" t="s">
        <v>781</v>
      </c>
      <c r="B1474" s="4" t="s">
        <v>49</v>
      </c>
      <c r="C1474" s="4" t="s">
        <v>12</v>
      </c>
      <c r="D1474" s="4">
        <v>25841868</v>
      </c>
      <c r="E1474" s="4">
        <v>181</v>
      </c>
      <c r="F1474" s="4" t="s">
        <v>1433</v>
      </c>
      <c r="G1474" s="4">
        <v>181</v>
      </c>
      <c r="H1474" s="4">
        <v>0</v>
      </c>
      <c r="I1474" s="4">
        <v>0</v>
      </c>
      <c r="J1474" s="4"/>
      <c r="K1474" s="4"/>
      <c r="L1474" s="4"/>
      <c r="M1474" s="4"/>
      <c r="N1474" s="4"/>
      <c r="O1474" s="4"/>
    </row>
    <row r="1475" spans="1:15" x14ac:dyDescent="0.3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</row>
    <row r="1476" spans="1:15" x14ac:dyDescent="0.3">
      <c r="A1476" s="4" t="s">
        <v>782</v>
      </c>
      <c r="B1476" s="4" t="s">
        <v>49</v>
      </c>
      <c r="C1476" s="4" t="s">
        <v>12</v>
      </c>
      <c r="D1476" s="4">
        <v>25841976</v>
      </c>
      <c r="E1476" s="4">
        <v>26</v>
      </c>
      <c r="F1476" s="4" t="s">
        <v>1433</v>
      </c>
      <c r="G1476" s="4">
        <v>26</v>
      </c>
      <c r="H1476" s="4">
        <v>0</v>
      </c>
      <c r="I1476" s="4">
        <v>0</v>
      </c>
      <c r="J1476" s="4"/>
      <c r="K1476" s="4"/>
      <c r="L1476" s="4"/>
      <c r="M1476" s="4"/>
      <c r="N1476" s="4"/>
      <c r="O1476" s="4"/>
    </row>
    <row r="1477" spans="1:15" x14ac:dyDescent="0.3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</row>
    <row r="1478" spans="1:15" x14ac:dyDescent="0.3">
      <c r="A1478" s="4" t="s">
        <v>783</v>
      </c>
      <c r="B1478" s="4" t="s">
        <v>49</v>
      </c>
      <c r="C1478" s="4" t="s">
        <v>12</v>
      </c>
      <c r="D1478" s="4">
        <v>25841982</v>
      </c>
      <c r="E1478" s="4">
        <v>33</v>
      </c>
      <c r="F1478" s="4" t="s">
        <v>1433</v>
      </c>
      <c r="G1478" s="4">
        <v>33</v>
      </c>
      <c r="H1478" s="4">
        <v>0</v>
      </c>
      <c r="I1478" s="4">
        <v>0</v>
      </c>
      <c r="J1478" s="4"/>
      <c r="K1478" s="4"/>
      <c r="L1478" s="4"/>
      <c r="M1478" s="4"/>
      <c r="N1478" s="4"/>
      <c r="O1478" s="4"/>
    </row>
    <row r="1479" spans="1:15" x14ac:dyDescent="0.3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</row>
    <row r="1480" spans="1:15" x14ac:dyDescent="0.3">
      <c r="A1480" s="4" t="s">
        <v>784</v>
      </c>
      <c r="B1480" s="4" t="s">
        <v>49</v>
      </c>
      <c r="C1480" s="4" t="s">
        <v>12</v>
      </c>
      <c r="D1480" s="4">
        <v>25842066</v>
      </c>
      <c r="E1480" s="4">
        <v>8</v>
      </c>
      <c r="F1480" s="4" t="s">
        <v>1433</v>
      </c>
      <c r="G1480" s="4">
        <v>8</v>
      </c>
      <c r="H1480" s="4">
        <v>0</v>
      </c>
      <c r="I1480" s="4">
        <v>0</v>
      </c>
      <c r="J1480" s="4"/>
      <c r="K1480" s="4"/>
      <c r="L1480" s="4"/>
      <c r="M1480" s="4"/>
      <c r="N1480" s="4"/>
      <c r="O1480" s="4"/>
    </row>
    <row r="1481" spans="1:15" x14ac:dyDescent="0.3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</row>
    <row r="1482" spans="1:15" x14ac:dyDescent="0.3">
      <c r="A1482" s="4" t="s">
        <v>785</v>
      </c>
      <c r="B1482" s="4" t="s">
        <v>49</v>
      </c>
      <c r="C1482" s="4" t="s">
        <v>12</v>
      </c>
      <c r="D1482" s="4">
        <v>25842084</v>
      </c>
      <c r="E1482" s="4">
        <v>12</v>
      </c>
      <c r="F1482" s="4" t="s">
        <v>1433</v>
      </c>
      <c r="G1482" s="4">
        <v>12</v>
      </c>
      <c r="H1482" s="4">
        <v>0</v>
      </c>
      <c r="I1482" s="4">
        <v>0</v>
      </c>
      <c r="J1482" s="4"/>
      <c r="K1482" s="4"/>
      <c r="L1482" s="4"/>
      <c r="M1482" s="4"/>
      <c r="N1482" s="4"/>
      <c r="O1482" s="4"/>
    </row>
    <row r="1483" spans="1:15" x14ac:dyDescent="0.3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</row>
    <row r="1484" spans="1:15" x14ac:dyDescent="0.3">
      <c r="A1484" s="4" t="s">
        <v>786</v>
      </c>
      <c r="B1484" s="4" t="s">
        <v>49</v>
      </c>
      <c r="C1484" s="4" t="s">
        <v>12</v>
      </c>
      <c r="D1484" s="4">
        <v>25842132</v>
      </c>
      <c r="E1484" s="4">
        <v>20</v>
      </c>
      <c r="F1484" s="4" t="s">
        <v>1433</v>
      </c>
      <c r="G1484" s="4">
        <v>20</v>
      </c>
      <c r="H1484" s="4">
        <v>0</v>
      </c>
      <c r="I1484" s="4">
        <v>0</v>
      </c>
      <c r="J1484" s="4"/>
      <c r="K1484" s="4"/>
      <c r="L1484" s="4"/>
      <c r="M1484" s="4"/>
      <c r="N1484" s="4"/>
      <c r="O1484" s="4"/>
    </row>
    <row r="1485" spans="1:15" x14ac:dyDescent="0.3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</row>
    <row r="1486" spans="1:15" x14ac:dyDescent="0.3">
      <c r="A1486" s="4" t="s">
        <v>787</v>
      </c>
      <c r="B1486" s="4" t="s">
        <v>49</v>
      </c>
      <c r="C1486" s="4" t="s">
        <v>12</v>
      </c>
      <c r="D1486" s="4">
        <v>25842144</v>
      </c>
      <c r="E1486" s="4">
        <v>15</v>
      </c>
      <c r="F1486" s="4" t="s">
        <v>1433</v>
      </c>
      <c r="G1486" s="4">
        <v>15</v>
      </c>
      <c r="H1486" s="4">
        <v>0</v>
      </c>
      <c r="I1486" s="4">
        <v>0</v>
      </c>
      <c r="J1486" s="4"/>
      <c r="K1486" s="4"/>
      <c r="L1486" s="4"/>
      <c r="M1486" s="4"/>
      <c r="N1486" s="4"/>
      <c r="O1486" s="4"/>
    </row>
    <row r="1487" spans="1:15" x14ac:dyDescent="0.3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</row>
    <row r="1488" spans="1:15" x14ac:dyDescent="0.3">
      <c r="A1488" s="4" t="s">
        <v>788</v>
      </c>
      <c r="B1488" s="4" t="s">
        <v>49</v>
      </c>
      <c r="C1488" s="4" t="s">
        <v>12</v>
      </c>
      <c r="D1488" s="4">
        <v>25842336</v>
      </c>
      <c r="E1488" s="4">
        <v>38</v>
      </c>
      <c r="F1488" s="4" t="s">
        <v>1433</v>
      </c>
      <c r="G1488" s="4">
        <v>38</v>
      </c>
      <c r="H1488" s="4">
        <v>0</v>
      </c>
      <c r="I1488" s="4">
        <v>0</v>
      </c>
      <c r="J1488" s="4"/>
      <c r="K1488" s="4"/>
      <c r="L1488" s="4"/>
      <c r="M1488" s="4"/>
      <c r="N1488" s="4"/>
      <c r="O1488" s="4"/>
    </row>
    <row r="1489" spans="1:15" x14ac:dyDescent="0.3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</row>
    <row r="1490" spans="1:15" x14ac:dyDescent="0.3">
      <c r="A1490" s="4" t="s">
        <v>789</v>
      </c>
      <c r="B1490" s="4" t="s">
        <v>49</v>
      </c>
      <c r="C1490" s="4" t="s">
        <v>12</v>
      </c>
      <c r="D1490" s="4">
        <v>25842360</v>
      </c>
      <c r="E1490" s="4">
        <v>21</v>
      </c>
      <c r="F1490" s="4" t="s">
        <v>1433</v>
      </c>
      <c r="G1490" s="4">
        <v>21</v>
      </c>
      <c r="H1490" s="4">
        <v>0</v>
      </c>
      <c r="I1490" s="4">
        <v>0</v>
      </c>
      <c r="J1490" s="4"/>
      <c r="K1490" s="4"/>
      <c r="L1490" s="4"/>
      <c r="M1490" s="4"/>
      <c r="N1490" s="4"/>
      <c r="O1490" s="4"/>
    </row>
    <row r="1491" spans="1:15" x14ac:dyDescent="0.3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</row>
    <row r="1492" spans="1:15" x14ac:dyDescent="0.3">
      <c r="A1492" s="4" t="s">
        <v>790</v>
      </c>
      <c r="B1492" s="4" t="s">
        <v>49</v>
      </c>
      <c r="C1492" s="4" t="s">
        <v>12</v>
      </c>
      <c r="D1492" s="4">
        <v>25842504</v>
      </c>
      <c r="E1492" s="4">
        <v>15</v>
      </c>
      <c r="F1492" s="4" t="s">
        <v>1433</v>
      </c>
      <c r="G1492" s="4">
        <v>15</v>
      </c>
      <c r="H1492" s="4">
        <v>0</v>
      </c>
      <c r="I1492" s="4">
        <v>0</v>
      </c>
      <c r="J1492" s="4"/>
      <c r="K1492" s="4"/>
      <c r="L1492" s="4"/>
      <c r="M1492" s="4"/>
      <c r="N1492" s="4"/>
      <c r="O1492" s="4"/>
    </row>
    <row r="1493" spans="1:15" x14ac:dyDescent="0.3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</row>
    <row r="1494" spans="1:15" x14ac:dyDescent="0.3">
      <c r="A1494" s="4" t="s">
        <v>791</v>
      </c>
      <c r="B1494" s="4" t="s">
        <v>49</v>
      </c>
      <c r="C1494" s="4" t="s">
        <v>12</v>
      </c>
      <c r="D1494" s="4">
        <v>25842624</v>
      </c>
      <c r="E1494" s="4">
        <v>15</v>
      </c>
      <c r="F1494" s="4" t="s">
        <v>1433</v>
      </c>
      <c r="G1494" s="4">
        <v>15</v>
      </c>
      <c r="H1494" s="4">
        <v>0</v>
      </c>
      <c r="I1494" s="4">
        <v>0</v>
      </c>
      <c r="J1494" s="4"/>
      <c r="K1494" s="4"/>
      <c r="L1494" s="4"/>
      <c r="M1494" s="4"/>
      <c r="N1494" s="4"/>
      <c r="O1494" s="4"/>
    </row>
    <row r="1495" spans="1:15" x14ac:dyDescent="0.3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</row>
    <row r="1496" spans="1:15" x14ac:dyDescent="0.3">
      <c r="A1496" s="4" t="s">
        <v>792</v>
      </c>
      <c r="B1496" s="4" t="s">
        <v>49</v>
      </c>
      <c r="C1496" s="4" t="s">
        <v>12</v>
      </c>
      <c r="D1496" s="4">
        <v>25842630</v>
      </c>
      <c r="E1496" s="4">
        <v>10</v>
      </c>
      <c r="F1496" s="4" t="s">
        <v>1433</v>
      </c>
      <c r="G1496" s="4">
        <v>10</v>
      </c>
      <c r="H1496" s="4">
        <v>0</v>
      </c>
      <c r="I1496" s="4">
        <v>0</v>
      </c>
      <c r="J1496" s="4"/>
      <c r="K1496" s="4"/>
      <c r="L1496" s="4"/>
      <c r="M1496" s="4"/>
      <c r="N1496" s="4"/>
      <c r="O1496" s="4"/>
    </row>
    <row r="1497" spans="1:15" x14ac:dyDescent="0.3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</row>
    <row r="1498" spans="1:15" x14ac:dyDescent="0.3">
      <c r="A1498" s="4" t="s">
        <v>793</v>
      </c>
      <c r="B1498" s="4" t="s">
        <v>49</v>
      </c>
      <c r="C1498" s="4" t="s">
        <v>12</v>
      </c>
      <c r="D1498" s="4">
        <v>25842882</v>
      </c>
      <c r="E1498" s="4">
        <v>8</v>
      </c>
      <c r="F1498" s="4" t="s">
        <v>1433</v>
      </c>
      <c r="G1498" s="4">
        <v>8</v>
      </c>
      <c r="H1498" s="4">
        <v>0</v>
      </c>
      <c r="I1498" s="4">
        <v>0</v>
      </c>
      <c r="J1498" s="4"/>
      <c r="K1498" s="4"/>
      <c r="L1498" s="4"/>
      <c r="M1498" s="4"/>
      <c r="N1498" s="4"/>
      <c r="O1498" s="4"/>
    </row>
    <row r="1499" spans="1:15" x14ac:dyDescent="0.3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</row>
    <row r="1500" spans="1:15" x14ac:dyDescent="0.3">
      <c r="A1500" s="4" t="s">
        <v>794</v>
      </c>
      <c r="B1500" s="4" t="s">
        <v>49</v>
      </c>
      <c r="C1500" s="4" t="s">
        <v>12</v>
      </c>
      <c r="D1500" s="4">
        <v>25843116</v>
      </c>
      <c r="E1500" s="4">
        <v>15</v>
      </c>
      <c r="F1500" s="4" t="s">
        <v>1433</v>
      </c>
      <c r="G1500" s="4">
        <v>15</v>
      </c>
      <c r="H1500" s="4">
        <v>0</v>
      </c>
      <c r="I1500" s="4">
        <v>0</v>
      </c>
      <c r="J1500" s="4"/>
      <c r="K1500" s="4"/>
      <c r="L1500" s="4"/>
      <c r="M1500" s="4"/>
      <c r="N1500" s="4"/>
      <c r="O1500" s="4"/>
    </row>
    <row r="1501" spans="1:15" x14ac:dyDescent="0.3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</row>
    <row r="1502" spans="1:15" x14ac:dyDescent="0.3">
      <c r="A1502" s="4" t="s">
        <v>795</v>
      </c>
      <c r="B1502" s="4" t="s">
        <v>49</v>
      </c>
      <c r="C1502" s="4" t="s">
        <v>12</v>
      </c>
      <c r="D1502" s="4">
        <v>25843146</v>
      </c>
      <c r="E1502" s="4">
        <v>14</v>
      </c>
      <c r="F1502" s="4" t="s">
        <v>1433</v>
      </c>
      <c r="G1502" s="4">
        <v>14</v>
      </c>
      <c r="H1502" s="4">
        <v>0</v>
      </c>
      <c r="I1502" s="4">
        <v>0</v>
      </c>
      <c r="J1502" s="4"/>
      <c r="K1502" s="4"/>
      <c r="L1502" s="4"/>
      <c r="M1502" s="4"/>
      <c r="N1502" s="4"/>
      <c r="O1502" s="4"/>
    </row>
    <row r="1503" spans="1:15" x14ac:dyDescent="0.3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</row>
    <row r="1504" spans="1:15" x14ac:dyDescent="0.3">
      <c r="A1504" s="4" t="s">
        <v>796</v>
      </c>
      <c r="B1504" s="4" t="s">
        <v>49</v>
      </c>
      <c r="C1504" s="4" t="s">
        <v>12</v>
      </c>
      <c r="D1504" s="4">
        <v>25843284</v>
      </c>
      <c r="E1504" s="4">
        <v>22</v>
      </c>
      <c r="F1504" s="4" t="s">
        <v>1433</v>
      </c>
      <c r="G1504" s="4">
        <v>22</v>
      </c>
      <c r="H1504" s="4">
        <v>0</v>
      </c>
      <c r="I1504" s="4">
        <v>0</v>
      </c>
      <c r="J1504" s="4"/>
      <c r="K1504" s="4"/>
      <c r="L1504" s="4"/>
      <c r="M1504" s="4"/>
      <c r="N1504" s="4"/>
      <c r="O1504" s="4"/>
    </row>
    <row r="1505" spans="1:15" x14ac:dyDescent="0.3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</row>
    <row r="1506" spans="1:15" x14ac:dyDescent="0.3">
      <c r="A1506" s="4" t="s">
        <v>797</v>
      </c>
      <c r="B1506" s="4" t="s">
        <v>49</v>
      </c>
      <c r="C1506" s="4" t="s">
        <v>12</v>
      </c>
      <c r="D1506" s="4">
        <v>25843458</v>
      </c>
      <c r="E1506" s="4">
        <v>14</v>
      </c>
      <c r="F1506" s="4" t="s">
        <v>1433</v>
      </c>
      <c r="G1506" s="4">
        <v>14</v>
      </c>
      <c r="H1506" s="4">
        <v>0</v>
      </c>
      <c r="I1506" s="4">
        <v>0</v>
      </c>
      <c r="J1506" s="4"/>
      <c r="K1506" s="4"/>
      <c r="L1506" s="4"/>
      <c r="M1506" s="4"/>
      <c r="N1506" s="4"/>
      <c r="O1506" s="4"/>
    </row>
    <row r="1507" spans="1:15" x14ac:dyDescent="0.3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</row>
    <row r="1508" spans="1:15" x14ac:dyDescent="0.3">
      <c r="A1508" s="4" t="s">
        <v>798</v>
      </c>
      <c r="B1508" s="4" t="s">
        <v>49</v>
      </c>
      <c r="C1508" s="4" t="s">
        <v>12</v>
      </c>
      <c r="D1508" s="4">
        <v>25843548</v>
      </c>
      <c r="E1508" s="4">
        <v>14</v>
      </c>
      <c r="F1508" s="4" t="s">
        <v>1433</v>
      </c>
      <c r="G1508" s="4">
        <v>14</v>
      </c>
      <c r="H1508" s="4">
        <v>0</v>
      </c>
      <c r="I1508" s="4">
        <v>0</v>
      </c>
      <c r="J1508" s="4"/>
      <c r="K1508" s="4"/>
      <c r="L1508" s="4"/>
      <c r="M1508" s="4"/>
      <c r="N1508" s="4"/>
      <c r="O1508" s="4"/>
    </row>
    <row r="1509" spans="1:15" x14ac:dyDescent="0.3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</row>
    <row r="1510" spans="1:15" x14ac:dyDescent="0.3">
      <c r="A1510" s="4" t="s">
        <v>799</v>
      </c>
      <c r="B1510" s="4" t="s">
        <v>49</v>
      </c>
      <c r="C1510" s="4" t="s">
        <v>12</v>
      </c>
      <c r="D1510" s="4">
        <v>25843824</v>
      </c>
      <c r="E1510" s="4">
        <v>18</v>
      </c>
      <c r="F1510" s="4" t="s">
        <v>1433</v>
      </c>
      <c r="G1510" s="4">
        <v>18</v>
      </c>
      <c r="H1510" s="4">
        <v>0</v>
      </c>
      <c r="I1510" s="4">
        <v>0</v>
      </c>
      <c r="J1510" s="4"/>
      <c r="K1510" s="4"/>
      <c r="L1510" s="4"/>
      <c r="M1510" s="4"/>
      <c r="N1510" s="4"/>
      <c r="O1510" s="4"/>
    </row>
    <row r="1511" spans="1:15" x14ac:dyDescent="0.3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</row>
    <row r="1512" spans="1:15" x14ac:dyDescent="0.3">
      <c r="A1512" s="4" t="s">
        <v>800</v>
      </c>
      <c r="B1512" s="4" t="s">
        <v>49</v>
      </c>
      <c r="C1512" s="4" t="s">
        <v>12</v>
      </c>
      <c r="D1512" s="4">
        <v>25843842</v>
      </c>
      <c r="E1512" s="4">
        <v>31</v>
      </c>
      <c r="F1512" s="4" t="s">
        <v>1433</v>
      </c>
      <c r="G1512" s="4">
        <v>31</v>
      </c>
      <c r="H1512" s="4">
        <v>0</v>
      </c>
      <c r="I1512" s="4">
        <v>0</v>
      </c>
      <c r="J1512" s="4"/>
      <c r="K1512" s="4"/>
      <c r="L1512" s="4"/>
      <c r="M1512" s="4"/>
      <c r="N1512" s="4"/>
      <c r="O1512" s="4"/>
    </row>
    <row r="1513" spans="1:15" x14ac:dyDescent="0.3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</row>
    <row r="1514" spans="1:15" x14ac:dyDescent="0.3">
      <c r="A1514" s="4" t="s">
        <v>801</v>
      </c>
      <c r="B1514" s="4" t="s">
        <v>49</v>
      </c>
      <c r="C1514" s="4" t="s">
        <v>12</v>
      </c>
      <c r="D1514" s="4">
        <v>25843872</v>
      </c>
      <c r="E1514" s="4">
        <v>12</v>
      </c>
      <c r="F1514" s="4" t="s">
        <v>1433</v>
      </c>
      <c r="G1514" s="4">
        <v>12</v>
      </c>
      <c r="H1514" s="4">
        <v>0</v>
      </c>
      <c r="I1514" s="4">
        <v>0</v>
      </c>
      <c r="J1514" s="4"/>
      <c r="K1514" s="4"/>
      <c r="L1514" s="4"/>
      <c r="M1514" s="4"/>
      <c r="N1514" s="4"/>
      <c r="O1514" s="4"/>
    </row>
    <row r="1515" spans="1:15" x14ac:dyDescent="0.3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</row>
    <row r="1516" spans="1:15" x14ac:dyDescent="0.3">
      <c r="A1516" s="4" t="s">
        <v>802</v>
      </c>
      <c r="B1516" s="4" t="s">
        <v>49</v>
      </c>
      <c r="C1516" s="4" t="s">
        <v>12</v>
      </c>
      <c r="D1516" s="4">
        <v>25843908</v>
      </c>
      <c r="E1516" s="4">
        <v>17</v>
      </c>
      <c r="F1516" s="4" t="s">
        <v>1433</v>
      </c>
      <c r="G1516" s="4">
        <v>17</v>
      </c>
      <c r="H1516" s="4">
        <v>0</v>
      </c>
      <c r="I1516" s="4">
        <v>0</v>
      </c>
      <c r="J1516" s="4"/>
      <c r="K1516" s="4"/>
      <c r="L1516" s="4"/>
      <c r="M1516" s="4"/>
      <c r="N1516" s="4"/>
      <c r="O1516" s="4"/>
    </row>
    <row r="1517" spans="1:15" x14ac:dyDescent="0.3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</row>
    <row r="1518" spans="1:15" x14ac:dyDescent="0.3">
      <c r="A1518" s="4" t="s">
        <v>803</v>
      </c>
      <c r="B1518" s="4" t="s">
        <v>49</v>
      </c>
      <c r="C1518" s="4" t="s">
        <v>12</v>
      </c>
      <c r="D1518" s="4">
        <v>25844202</v>
      </c>
      <c r="E1518" s="4">
        <v>15</v>
      </c>
      <c r="F1518" s="4" t="s">
        <v>1433</v>
      </c>
      <c r="G1518" s="4">
        <v>15</v>
      </c>
      <c r="H1518" s="4">
        <v>0</v>
      </c>
      <c r="I1518" s="4">
        <v>0</v>
      </c>
      <c r="J1518" s="4"/>
      <c r="K1518" s="4"/>
      <c r="L1518" s="4"/>
      <c r="M1518" s="4"/>
      <c r="N1518" s="4"/>
      <c r="O1518" s="4"/>
    </row>
    <row r="1519" spans="1:15" x14ac:dyDescent="0.3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</row>
    <row r="1520" spans="1:15" x14ac:dyDescent="0.3">
      <c r="A1520" s="4" t="s">
        <v>804</v>
      </c>
      <c r="B1520" s="4" t="s">
        <v>49</v>
      </c>
      <c r="C1520" s="4" t="s">
        <v>12</v>
      </c>
      <c r="D1520" s="4">
        <v>25844664</v>
      </c>
      <c r="E1520" s="4">
        <v>42</v>
      </c>
      <c r="F1520" s="4" t="s">
        <v>1433</v>
      </c>
      <c r="G1520" s="4">
        <v>42</v>
      </c>
      <c r="H1520" s="4">
        <v>0</v>
      </c>
      <c r="I1520" s="4">
        <v>0</v>
      </c>
      <c r="J1520" s="4"/>
      <c r="K1520" s="4"/>
      <c r="L1520" s="4"/>
      <c r="M1520" s="4"/>
      <c r="N1520" s="4"/>
      <c r="O1520" s="4"/>
    </row>
    <row r="1521" spans="1:15" x14ac:dyDescent="0.3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</row>
    <row r="1522" spans="1:15" x14ac:dyDescent="0.3">
      <c r="A1522" s="4" t="s">
        <v>805</v>
      </c>
      <c r="B1522" s="4" t="s">
        <v>49</v>
      </c>
      <c r="C1522" s="4" t="s">
        <v>12</v>
      </c>
      <c r="D1522" s="4">
        <v>25844676</v>
      </c>
      <c r="E1522" s="4">
        <v>26</v>
      </c>
      <c r="F1522" s="4" t="s">
        <v>1433</v>
      </c>
      <c r="G1522" s="4">
        <v>26</v>
      </c>
      <c r="H1522" s="4">
        <v>0</v>
      </c>
      <c r="I1522" s="4">
        <v>0</v>
      </c>
      <c r="J1522" s="4"/>
      <c r="K1522" s="4"/>
      <c r="L1522" s="4"/>
      <c r="M1522" s="4"/>
      <c r="N1522" s="4"/>
      <c r="O1522" s="4"/>
    </row>
    <row r="1523" spans="1:15" x14ac:dyDescent="0.3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</row>
    <row r="1524" spans="1:15" x14ac:dyDescent="0.3">
      <c r="A1524" s="4" t="s">
        <v>806</v>
      </c>
      <c r="B1524" s="4" t="s">
        <v>49</v>
      </c>
      <c r="C1524" s="4" t="s">
        <v>12</v>
      </c>
      <c r="D1524" s="4">
        <v>25845042</v>
      </c>
      <c r="E1524" s="4">
        <v>50</v>
      </c>
      <c r="F1524" s="4" t="s">
        <v>1433</v>
      </c>
      <c r="G1524" s="4">
        <v>50</v>
      </c>
      <c r="H1524" s="4">
        <v>0</v>
      </c>
      <c r="I1524" s="4">
        <v>0</v>
      </c>
      <c r="J1524" s="4"/>
      <c r="K1524" s="4"/>
      <c r="L1524" s="4"/>
      <c r="M1524" s="4"/>
      <c r="N1524" s="4"/>
      <c r="O1524" s="4"/>
    </row>
    <row r="1525" spans="1:15" x14ac:dyDescent="0.3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</row>
    <row r="1526" spans="1:15" x14ac:dyDescent="0.3">
      <c r="A1526" s="4" t="s">
        <v>807</v>
      </c>
      <c r="B1526" s="4" t="s">
        <v>49</v>
      </c>
      <c r="C1526" s="4" t="s">
        <v>12</v>
      </c>
      <c r="D1526" s="4">
        <v>25845096</v>
      </c>
      <c r="E1526" s="4">
        <v>66</v>
      </c>
      <c r="F1526" s="4" t="s">
        <v>1433</v>
      </c>
      <c r="G1526" s="4">
        <v>66</v>
      </c>
      <c r="H1526" s="4">
        <v>0</v>
      </c>
      <c r="I1526" s="4">
        <v>0</v>
      </c>
      <c r="J1526" s="4"/>
      <c r="K1526" s="4"/>
      <c r="L1526" s="4"/>
      <c r="M1526" s="4"/>
      <c r="N1526" s="4"/>
      <c r="O1526" s="4"/>
    </row>
    <row r="1527" spans="1:15" x14ac:dyDescent="0.3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</row>
    <row r="1528" spans="1:15" x14ac:dyDescent="0.3">
      <c r="A1528" s="4" t="s">
        <v>808</v>
      </c>
      <c r="B1528" s="4" t="s">
        <v>49</v>
      </c>
      <c r="C1528" s="4" t="s">
        <v>12</v>
      </c>
      <c r="D1528" s="4">
        <v>25845108</v>
      </c>
      <c r="E1528" s="4">
        <v>23</v>
      </c>
      <c r="F1528" s="4" t="s">
        <v>1433</v>
      </c>
      <c r="G1528" s="4">
        <v>23</v>
      </c>
      <c r="H1528" s="4">
        <v>0</v>
      </c>
      <c r="I1528" s="4">
        <v>0</v>
      </c>
      <c r="J1528" s="4"/>
      <c r="K1528" s="4"/>
      <c r="L1528" s="4"/>
      <c r="M1528" s="4"/>
      <c r="N1528" s="4"/>
      <c r="O1528" s="4"/>
    </row>
    <row r="1529" spans="1:15" x14ac:dyDescent="0.3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</row>
    <row r="1530" spans="1:15" x14ac:dyDescent="0.3">
      <c r="A1530" s="4" t="s">
        <v>809</v>
      </c>
      <c r="B1530" s="4" t="s">
        <v>49</v>
      </c>
      <c r="C1530" s="4" t="s">
        <v>12</v>
      </c>
      <c r="D1530" s="4">
        <v>25845144</v>
      </c>
      <c r="E1530" s="4">
        <v>63</v>
      </c>
      <c r="F1530" s="4" t="s">
        <v>1433</v>
      </c>
      <c r="G1530" s="4">
        <v>63</v>
      </c>
      <c r="H1530" s="4">
        <v>0</v>
      </c>
      <c r="I1530" s="4">
        <v>0</v>
      </c>
      <c r="J1530" s="4"/>
      <c r="K1530" s="4"/>
      <c r="L1530" s="4"/>
      <c r="M1530" s="4"/>
      <c r="N1530" s="4"/>
      <c r="O1530" s="4"/>
    </row>
    <row r="1531" spans="1:15" x14ac:dyDescent="0.3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</row>
    <row r="1532" spans="1:15" x14ac:dyDescent="0.3">
      <c r="A1532" s="4" t="s">
        <v>810</v>
      </c>
      <c r="B1532" s="4" t="s">
        <v>49</v>
      </c>
      <c r="C1532" s="4" t="s">
        <v>12</v>
      </c>
      <c r="D1532" s="4">
        <v>25845198</v>
      </c>
      <c r="E1532" s="4">
        <v>26</v>
      </c>
      <c r="F1532" s="4" t="s">
        <v>1433</v>
      </c>
      <c r="G1532" s="4">
        <v>26</v>
      </c>
      <c r="H1532" s="4">
        <v>0</v>
      </c>
      <c r="I1532" s="4">
        <v>0</v>
      </c>
      <c r="J1532" s="4"/>
      <c r="K1532" s="4"/>
      <c r="L1532" s="4"/>
      <c r="M1532" s="4"/>
      <c r="N1532" s="4"/>
      <c r="O1532" s="4"/>
    </row>
    <row r="1533" spans="1:15" x14ac:dyDescent="0.3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</row>
    <row r="1534" spans="1:15" x14ac:dyDescent="0.3">
      <c r="A1534" s="4" t="s">
        <v>811</v>
      </c>
      <c r="B1534" s="4" t="s">
        <v>49</v>
      </c>
      <c r="C1534" s="4" t="s">
        <v>12</v>
      </c>
      <c r="D1534" s="4">
        <v>25845258</v>
      </c>
      <c r="E1534" s="4">
        <v>14</v>
      </c>
      <c r="F1534" s="4" t="s">
        <v>1433</v>
      </c>
      <c r="G1534" s="4">
        <v>14</v>
      </c>
      <c r="H1534" s="4">
        <v>0</v>
      </c>
      <c r="I1534" s="4">
        <v>0</v>
      </c>
      <c r="J1534" s="4"/>
      <c r="K1534" s="4"/>
      <c r="L1534" s="4"/>
      <c r="M1534" s="4"/>
      <c r="N1534" s="4"/>
      <c r="O1534" s="4"/>
    </row>
    <row r="1535" spans="1:15" x14ac:dyDescent="0.3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</row>
    <row r="1536" spans="1:15" x14ac:dyDescent="0.3">
      <c r="A1536" s="4" t="s">
        <v>812</v>
      </c>
      <c r="B1536" s="4" t="s">
        <v>49</v>
      </c>
      <c r="C1536" s="4" t="s">
        <v>12</v>
      </c>
      <c r="D1536" s="4">
        <v>25845378</v>
      </c>
      <c r="E1536" s="4">
        <v>15</v>
      </c>
      <c r="F1536" s="4" t="s">
        <v>1433</v>
      </c>
      <c r="G1536" s="4">
        <v>15</v>
      </c>
      <c r="H1536" s="4">
        <v>0</v>
      </c>
      <c r="I1536" s="4">
        <v>0</v>
      </c>
      <c r="J1536" s="4"/>
      <c r="K1536" s="4"/>
      <c r="L1536" s="4"/>
      <c r="M1536" s="4"/>
      <c r="N1536" s="4"/>
      <c r="O1536" s="4"/>
    </row>
    <row r="1537" spans="1:15" x14ac:dyDescent="0.3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</row>
    <row r="1538" spans="1:15" x14ac:dyDescent="0.3">
      <c r="A1538" s="4" t="s">
        <v>813</v>
      </c>
      <c r="B1538" s="4" t="s">
        <v>49</v>
      </c>
      <c r="C1538" s="4" t="s">
        <v>12</v>
      </c>
      <c r="D1538" s="4">
        <v>25845396</v>
      </c>
      <c r="E1538" s="4">
        <v>34</v>
      </c>
      <c r="F1538" s="4" t="s">
        <v>1433</v>
      </c>
      <c r="G1538" s="4">
        <v>34</v>
      </c>
      <c r="H1538" s="4">
        <v>0</v>
      </c>
      <c r="I1538" s="4">
        <v>0</v>
      </c>
      <c r="J1538" s="4"/>
      <c r="K1538" s="4"/>
      <c r="L1538" s="4"/>
      <c r="M1538" s="4"/>
      <c r="N1538" s="4"/>
      <c r="O1538" s="4"/>
    </row>
    <row r="1539" spans="1:15" x14ac:dyDescent="0.3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</row>
    <row r="1540" spans="1:15" x14ac:dyDescent="0.3">
      <c r="A1540" s="4" t="s">
        <v>814</v>
      </c>
      <c r="B1540" s="4" t="s">
        <v>49</v>
      </c>
      <c r="C1540" s="4" t="s">
        <v>12</v>
      </c>
      <c r="D1540" s="4">
        <v>25845588</v>
      </c>
      <c r="E1540" s="4">
        <v>32</v>
      </c>
      <c r="F1540" s="4" t="s">
        <v>1433</v>
      </c>
      <c r="G1540" s="4">
        <v>32</v>
      </c>
      <c r="H1540" s="4">
        <v>0</v>
      </c>
      <c r="I1540" s="4">
        <v>0</v>
      </c>
      <c r="J1540" s="4"/>
      <c r="K1540" s="4"/>
      <c r="L1540" s="4"/>
      <c r="M1540" s="4"/>
      <c r="N1540" s="4"/>
      <c r="O1540" s="4"/>
    </row>
    <row r="1541" spans="1:15" x14ac:dyDescent="0.3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</row>
    <row r="1542" spans="1:15" x14ac:dyDescent="0.3">
      <c r="A1542" s="4" t="s">
        <v>815</v>
      </c>
      <c r="B1542" s="4" t="s">
        <v>49</v>
      </c>
      <c r="C1542" s="4" t="s">
        <v>12</v>
      </c>
      <c r="D1542" s="4">
        <v>25845762</v>
      </c>
      <c r="E1542" s="4">
        <v>14</v>
      </c>
      <c r="F1542" s="4" t="s">
        <v>1433</v>
      </c>
      <c r="G1542" s="4">
        <v>14</v>
      </c>
      <c r="H1542" s="4">
        <v>0</v>
      </c>
      <c r="I1542" s="4">
        <v>0</v>
      </c>
      <c r="J1542" s="4"/>
      <c r="K1542" s="4"/>
      <c r="L1542" s="4"/>
      <c r="M1542" s="4"/>
      <c r="N1542" s="4"/>
      <c r="O1542" s="4"/>
    </row>
    <row r="1543" spans="1:15" x14ac:dyDescent="0.3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</row>
    <row r="1544" spans="1:15" x14ac:dyDescent="0.3">
      <c r="A1544" s="4" t="s">
        <v>816</v>
      </c>
      <c r="B1544" s="4" t="s">
        <v>49</v>
      </c>
      <c r="C1544" s="4" t="s">
        <v>12</v>
      </c>
      <c r="D1544" s="4">
        <v>25845900</v>
      </c>
      <c r="E1544" s="4">
        <v>40</v>
      </c>
      <c r="F1544" s="4" t="s">
        <v>1433</v>
      </c>
      <c r="G1544" s="4">
        <v>40</v>
      </c>
      <c r="H1544" s="4">
        <v>0</v>
      </c>
      <c r="I1544" s="4">
        <v>0</v>
      </c>
      <c r="J1544" s="4"/>
      <c r="K1544" s="4"/>
      <c r="L1544" s="4"/>
      <c r="M1544" s="4"/>
      <c r="N1544" s="4"/>
      <c r="O1544" s="4"/>
    </row>
    <row r="1545" spans="1:15" x14ac:dyDescent="0.3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</row>
    <row r="1546" spans="1:15" x14ac:dyDescent="0.3">
      <c r="A1546" s="4" t="s">
        <v>817</v>
      </c>
      <c r="B1546" s="4" t="s">
        <v>49</v>
      </c>
      <c r="C1546" s="4" t="s">
        <v>12</v>
      </c>
      <c r="D1546" s="4">
        <v>25845906</v>
      </c>
      <c r="E1546" s="4">
        <v>14</v>
      </c>
      <c r="F1546" s="4" t="s">
        <v>1433</v>
      </c>
      <c r="G1546" s="4">
        <v>14</v>
      </c>
      <c r="H1546" s="4">
        <v>0</v>
      </c>
      <c r="I1546" s="4">
        <v>0</v>
      </c>
      <c r="J1546" s="4"/>
      <c r="K1546" s="4"/>
      <c r="L1546" s="4"/>
      <c r="M1546" s="4"/>
      <c r="N1546" s="4"/>
      <c r="O1546" s="4"/>
    </row>
    <row r="1547" spans="1:15" x14ac:dyDescent="0.3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</row>
    <row r="1548" spans="1:15" x14ac:dyDescent="0.3">
      <c r="A1548" s="4" t="s">
        <v>818</v>
      </c>
      <c r="B1548" s="4" t="s">
        <v>49</v>
      </c>
      <c r="C1548" s="4" t="s">
        <v>12</v>
      </c>
      <c r="D1548" s="4">
        <v>25846014</v>
      </c>
      <c r="E1548" s="4">
        <v>152</v>
      </c>
      <c r="F1548" s="4" t="s">
        <v>1433</v>
      </c>
      <c r="G1548" s="4">
        <v>152</v>
      </c>
      <c r="H1548" s="4">
        <v>0</v>
      </c>
      <c r="I1548" s="4">
        <v>0</v>
      </c>
      <c r="J1548" s="4"/>
      <c r="K1548" s="4"/>
      <c r="L1548" s="4"/>
      <c r="M1548" s="4"/>
      <c r="N1548" s="4"/>
      <c r="O1548" s="4"/>
    </row>
    <row r="1549" spans="1:15" x14ac:dyDescent="0.3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</row>
    <row r="1550" spans="1:15" x14ac:dyDescent="0.3">
      <c r="A1550" s="4" t="s">
        <v>819</v>
      </c>
      <c r="B1550" s="4" t="s">
        <v>49</v>
      </c>
      <c r="C1550" s="4" t="s">
        <v>12</v>
      </c>
      <c r="D1550" s="4">
        <v>25846302</v>
      </c>
      <c r="E1550" s="4">
        <v>14</v>
      </c>
      <c r="F1550" s="4" t="s">
        <v>1433</v>
      </c>
      <c r="G1550" s="4">
        <v>14</v>
      </c>
      <c r="H1550" s="4">
        <v>0</v>
      </c>
      <c r="I1550" s="4">
        <v>0</v>
      </c>
      <c r="J1550" s="4"/>
      <c r="K1550" s="4"/>
      <c r="L1550" s="4"/>
      <c r="M1550" s="4"/>
      <c r="N1550" s="4"/>
      <c r="O1550" s="4"/>
    </row>
    <row r="1551" spans="1:15" x14ac:dyDescent="0.3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</row>
    <row r="1552" spans="1:15" x14ac:dyDescent="0.3">
      <c r="A1552" s="4" t="s">
        <v>820</v>
      </c>
      <c r="B1552" s="4" t="s">
        <v>49</v>
      </c>
      <c r="C1552" s="4" t="s">
        <v>12</v>
      </c>
      <c r="D1552" s="4">
        <v>25846314</v>
      </c>
      <c r="E1552" s="4">
        <v>29</v>
      </c>
      <c r="F1552" s="4" t="s">
        <v>1433</v>
      </c>
      <c r="G1552" s="4">
        <v>29</v>
      </c>
      <c r="H1552" s="4">
        <v>0</v>
      </c>
      <c r="I1552" s="4">
        <v>0</v>
      </c>
      <c r="J1552" s="4"/>
      <c r="K1552" s="4"/>
      <c r="L1552" s="4"/>
      <c r="M1552" s="4"/>
      <c r="N1552" s="4"/>
      <c r="O1552" s="4"/>
    </row>
    <row r="1553" spans="1:15" x14ac:dyDescent="0.3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</row>
    <row r="1554" spans="1:15" x14ac:dyDescent="0.3">
      <c r="A1554" s="4" t="s">
        <v>821</v>
      </c>
      <c r="B1554" s="4" t="s">
        <v>49</v>
      </c>
      <c r="C1554" s="4" t="s">
        <v>12</v>
      </c>
      <c r="D1554" s="4">
        <v>25846344</v>
      </c>
      <c r="E1554" s="4">
        <v>20</v>
      </c>
      <c r="F1554" s="4" t="s">
        <v>1433</v>
      </c>
      <c r="G1554" s="4">
        <v>20</v>
      </c>
      <c r="H1554" s="4">
        <v>0</v>
      </c>
      <c r="I1554" s="4">
        <v>0</v>
      </c>
      <c r="J1554" s="4"/>
      <c r="K1554" s="4"/>
      <c r="L1554" s="4"/>
      <c r="M1554" s="4"/>
      <c r="N1554" s="4"/>
      <c r="O1554" s="4"/>
    </row>
    <row r="1555" spans="1:15" x14ac:dyDescent="0.3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</row>
    <row r="1556" spans="1:15" x14ac:dyDescent="0.3">
      <c r="A1556" s="4" t="s">
        <v>822</v>
      </c>
      <c r="B1556" s="4" t="s">
        <v>49</v>
      </c>
      <c r="C1556" s="4" t="s">
        <v>12</v>
      </c>
      <c r="D1556" s="4">
        <v>25846410</v>
      </c>
      <c r="E1556" s="4">
        <v>20</v>
      </c>
      <c r="F1556" s="4" t="s">
        <v>1433</v>
      </c>
      <c r="G1556" s="4">
        <v>20</v>
      </c>
      <c r="H1556" s="4">
        <v>0</v>
      </c>
      <c r="I1556" s="4">
        <v>0</v>
      </c>
      <c r="J1556" s="4"/>
      <c r="K1556" s="4"/>
      <c r="L1556" s="4"/>
      <c r="M1556" s="4"/>
      <c r="N1556" s="4"/>
      <c r="O1556" s="4"/>
    </row>
    <row r="1557" spans="1:15" x14ac:dyDescent="0.3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</row>
    <row r="1558" spans="1:15" x14ac:dyDescent="0.3">
      <c r="A1558" s="4" t="s">
        <v>823</v>
      </c>
      <c r="B1558" s="4" t="s">
        <v>49</v>
      </c>
      <c r="C1558" s="4" t="s">
        <v>12</v>
      </c>
      <c r="D1558" s="4">
        <v>25846500</v>
      </c>
      <c r="E1558" s="4">
        <v>323</v>
      </c>
      <c r="F1558" s="4" t="s">
        <v>1433</v>
      </c>
      <c r="G1558" s="4">
        <v>323</v>
      </c>
      <c r="H1558" s="4">
        <v>0</v>
      </c>
      <c r="I1558" s="4">
        <v>0</v>
      </c>
      <c r="J1558" s="4"/>
      <c r="K1558" s="4"/>
      <c r="L1558" s="4"/>
      <c r="M1558" s="4"/>
      <c r="N1558" s="4"/>
      <c r="O1558" s="4"/>
    </row>
    <row r="1559" spans="1:15" x14ac:dyDescent="0.3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</row>
    <row r="1560" spans="1:15" x14ac:dyDescent="0.3">
      <c r="A1560" s="4" t="s">
        <v>824</v>
      </c>
      <c r="B1560" s="4" t="s">
        <v>49</v>
      </c>
      <c r="C1560" s="4" t="s">
        <v>12</v>
      </c>
      <c r="D1560" s="4">
        <v>25847028</v>
      </c>
      <c r="E1560" s="4">
        <v>18</v>
      </c>
      <c r="F1560" s="4" t="s">
        <v>1433</v>
      </c>
      <c r="G1560" s="4">
        <v>18</v>
      </c>
      <c r="H1560" s="4">
        <v>0</v>
      </c>
      <c r="I1560" s="4">
        <v>0</v>
      </c>
      <c r="J1560" s="4"/>
      <c r="K1560" s="4"/>
      <c r="L1560" s="4"/>
      <c r="M1560" s="4"/>
      <c r="N1560" s="4"/>
      <c r="O1560" s="4"/>
    </row>
    <row r="1561" spans="1:15" x14ac:dyDescent="0.3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</row>
    <row r="1562" spans="1:15" x14ac:dyDescent="0.3">
      <c r="A1562" s="4" t="s">
        <v>825</v>
      </c>
      <c r="B1562" s="4" t="s">
        <v>49</v>
      </c>
      <c r="C1562" s="4" t="s">
        <v>12</v>
      </c>
      <c r="D1562" s="4">
        <v>25847076</v>
      </c>
      <c r="E1562" s="4">
        <v>40</v>
      </c>
      <c r="F1562" s="4" t="s">
        <v>1433</v>
      </c>
      <c r="G1562" s="4">
        <v>40</v>
      </c>
      <c r="H1562" s="4">
        <v>0</v>
      </c>
      <c r="I1562" s="4">
        <v>0</v>
      </c>
      <c r="J1562" s="4"/>
      <c r="K1562" s="4"/>
      <c r="L1562" s="4"/>
      <c r="M1562" s="4"/>
      <c r="N1562" s="4"/>
      <c r="O1562" s="4"/>
    </row>
    <row r="1563" spans="1:15" x14ac:dyDescent="0.3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</row>
    <row r="1564" spans="1:15" x14ac:dyDescent="0.3">
      <c r="A1564" s="4" t="s">
        <v>826</v>
      </c>
      <c r="B1564" s="4" t="s">
        <v>49</v>
      </c>
      <c r="C1564" s="4" t="s">
        <v>12</v>
      </c>
      <c r="D1564" s="4">
        <v>25847430</v>
      </c>
      <c r="E1564" s="4">
        <v>14</v>
      </c>
      <c r="F1564" s="4" t="s">
        <v>1433</v>
      </c>
      <c r="G1564" s="4">
        <v>14</v>
      </c>
      <c r="H1564" s="4">
        <v>0</v>
      </c>
      <c r="I1564" s="4">
        <v>0</v>
      </c>
      <c r="J1564" s="4"/>
      <c r="K1564" s="4"/>
      <c r="L1564" s="4"/>
      <c r="M1564" s="4"/>
      <c r="N1564" s="4"/>
      <c r="O1564" s="4"/>
    </row>
    <row r="1565" spans="1:15" x14ac:dyDescent="0.3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</row>
    <row r="1566" spans="1:15" x14ac:dyDescent="0.3">
      <c r="A1566" s="4" t="s">
        <v>827</v>
      </c>
      <c r="B1566" s="4" t="s">
        <v>49</v>
      </c>
      <c r="C1566" s="4" t="s">
        <v>12</v>
      </c>
      <c r="D1566" s="4">
        <v>25847640</v>
      </c>
      <c r="E1566" s="4">
        <v>140</v>
      </c>
      <c r="F1566" s="4" t="s">
        <v>1433</v>
      </c>
      <c r="G1566" s="4">
        <v>140</v>
      </c>
      <c r="H1566" s="4">
        <v>0</v>
      </c>
      <c r="I1566" s="4">
        <v>0</v>
      </c>
      <c r="J1566" s="4"/>
      <c r="K1566" s="4"/>
      <c r="L1566" s="4"/>
      <c r="M1566" s="4"/>
      <c r="N1566" s="4"/>
      <c r="O1566" s="4"/>
    </row>
    <row r="1567" spans="1:15" x14ac:dyDescent="0.3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</row>
    <row r="1568" spans="1:15" x14ac:dyDescent="0.3">
      <c r="A1568" s="4" t="s">
        <v>828</v>
      </c>
      <c r="B1568" s="4" t="s">
        <v>49</v>
      </c>
      <c r="C1568" s="4" t="s">
        <v>12</v>
      </c>
      <c r="D1568" s="4">
        <v>25847748</v>
      </c>
      <c r="E1568" s="4">
        <v>101</v>
      </c>
      <c r="F1568" s="4" t="s">
        <v>1433</v>
      </c>
      <c r="G1568" s="4">
        <v>101</v>
      </c>
      <c r="H1568" s="4">
        <v>0</v>
      </c>
      <c r="I1568" s="4">
        <v>0</v>
      </c>
      <c r="J1568" s="4"/>
      <c r="K1568" s="4"/>
      <c r="L1568" s="4"/>
      <c r="M1568" s="4"/>
      <c r="N1568" s="4"/>
      <c r="O1568" s="4"/>
    </row>
    <row r="1569" spans="1:15" x14ac:dyDescent="0.3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</row>
    <row r="1570" spans="1:15" x14ac:dyDescent="0.3">
      <c r="A1570" s="4" t="s">
        <v>829</v>
      </c>
      <c r="B1570" s="4" t="s">
        <v>49</v>
      </c>
      <c r="C1570" s="4" t="s">
        <v>12</v>
      </c>
      <c r="D1570" s="4">
        <v>25847904</v>
      </c>
      <c r="E1570" s="4">
        <v>146</v>
      </c>
      <c r="F1570" s="4" t="s">
        <v>1433</v>
      </c>
      <c r="G1570" s="4">
        <v>146</v>
      </c>
      <c r="H1570" s="4">
        <v>0</v>
      </c>
      <c r="I1570" s="4">
        <v>0</v>
      </c>
      <c r="J1570" s="4"/>
      <c r="K1570" s="4"/>
      <c r="L1570" s="4"/>
      <c r="M1570" s="4"/>
      <c r="N1570" s="4"/>
      <c r="O1570" s="4"/>
    </row>
    <row r="1571" spans="1:15" x14ac:dyDescent="0.3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</row>
    <row r="1572" spans="1:15" x14ac:dyDescent="0.3">
      <c r="A1572" s="4" t="s">
        <v>830</v>
      </c>
      <c r="B1572" s="4" t="s">
        <v>49</v>
      </c>
      <c r="C1572" s="4" t="s">
        <v>12</v>
      </c>
      <c r="D1572" s="4">
        <v>25848024</v>
      </c>
      <c r="E1572" s="4">
        <v>22</v>
      </c>
      <c r="F1572" s="4" t="s">
        <v>1433</v>
      </c>
      <c r="G1572" s="4">
        <v>22</v>
      </c>
      <c r="H1572" s="4">
        <v>0</v>
      </c>
      <c r="I1572" s="4">
        <v>0</v>
      </c>
      <c r="J1572" s="4"/>
      <c r="K1572" s="4"/>
      <c r="L1572" s="4"/>
      <c r="M1572" s="4"/>
      <c r="N1572" s="4"/>
      <c r="O1572" s="4"/>
    </row>
    <row r="1573" spans="1:15" x14ac:dyDescent="0.3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</row>
    <row r="1574" spans="1:15" x14ac:dyDescent="0.3">
      <c r="A1574" s="4" t="s">
        <v>831</v>
      </c>
      <c r="B1574" s="4" t="s">
        <v>49</v>
      </c>
      <c r="C1574" s="4" t="s">
        <v>12</v>
      </c>
      <c r="D1574" s="4">
        <v>25848300</v>
      </c>
      <c r="E1574" s="4">
        <v>14</v>
      </c>
      <c r="F1574" s="4" t="s">
        <v>1433</v>
      </c>
      <c r="G1574" s="4">
        <v>14</v>
      </c>
      <c r="H1574" s="4">
        <v>0</v>
      </c>
      <c r="I1574" s="4">
        <v>0</v>
      </c>
      <c r="J1574" s="4"/>
      <c r="K1574" s="4"/>
      <c r="L1574" s="4"/>
      <c r="M1574" s="4"/>
      <c r="N1574" s="4"/>
      <c r="O1574" s="4"/>
    </row>
    <row r="1575" spans="1:15" x14ac:dyDescent="0.3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</row>
    <row r="1576" spans="1:15" x14ac:dyDescent="0.3">
      <c r="A1576" s="4" t="s">
        <v>832</v>
      </c>
      <c r="B1576" s="4" t="s">
        <v>49</v>
      </c>
      <c r="C1576" s="4" t="s">
        <v>12</v>
      </c>
      <c r="D1576" s="4">
        <v>25848312</v>
      </c>
      <c r="E1576" s="4">
        <v>15</v>
      </c>
      <c r="F1576" s="4" t="s">
        <v>1433</v>
      </c>
      <c r="G1576" s="4">
        <v>15</v>
      </c>
      <c r="H1576" s="4">
        <v>0</v>
      </c>
      <c r="I1576" s="4">
        <v>0</v>
      </c>
      <c r="J1576" s="4"/>
      <c r="K1576" s="4"/>
      <c r="L1576" s="4"/>
      <c r="M1576" s="4"/>
      <c r="N1576" s="4"/>
      <c r="O1576" s="4"/>
    </row>
    <row r="1577" spans="1:15" x14ac:dyDescent="0.3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</row>
    <row r="1578" spans="1:15" x14ac:dyDescent="0.3">
      <c r="A1578" s="4" t="s">
        <v>833</v>
      </c>
      <c r="B1578" s="4" t="s">
        <v>49</v>
      </c>
      <c r="C1578" s="4" t="s">
        <v>12</v>
      </c>
      <c r="D1578" s="4">
        <v>25848540</v>
      </c>
      <c r="E1578" s="4">
        <v>13</v>
      </c>
      <c r="F1578" s="4" t="s">
        <v>1433</v>
      </c>
      <c r="G1578" s="4">
        <v>13</v>
      </c>
      <c r="H1578" s="4">
        <v>0</v>
      </c>
      <c r="I1578" s="4">
        <v>0</v>
      </c>
      <c r="J1578" s="4"/>
      <c r="K1578" s="4"/>
      <c r="L1578" s="4"/>
      <c r="M1578" s="4"/>
      <c r="N1578" s="4"/>
      <c r="O1578" s="4"/>
    </row>
    <row r="1579" spans="1:15" x14ac:dyDescent="0.3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</row>
    <row r="1580" spans="1:15" x14ac:dyDescent="0.3">
      <c r="A1580" s="4" t="s">
        <v>834</v>
      </c>
      <c r="B1580" s="4" t="s">
        <v>49</v>
      </c>
      <c r="C1580" s="4" t="s">
        <v>12</v>
      </c>
      <c r="D1580" s="4">
        <v>25848894</v>
      </c>
      <c r="E1580" s="4">
        <v>14</v>
      </c>
      <c r="F1580" s="4" t="s">
        <v>1433</v>
      </c>
      <c r="G1580" s="4">
        <v>14</v>
      </c>
      <c r="H1580" s="4">
        <v>0</v>
      </c>
      <c r="I1580" s="4">
        <v>0</v>
      </c>
      <c r="J1580" s="4"/>
      <c r="K1580" s="4"/>
      <c r="L1580" s="4"/>
      <c r="M1580" s="4"/>
      <c r="N1580" s="4"/>
      <c r="O1580" s="4"/>
    </row>
    <row r="1581" spans="1:15" x14ac:dyDescent="0.3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</row>
    <row r="1582" spans="1:15" x14ac:dyDescent="0.3">
      <c r="A1582" s="4" t="s">
        <v>835</v>
      </c>
      <c r="B1582" s="4" t="s">
        <v>49</v>
      </c>
      <c r="C1582" s="4" t="s">
        <v>12</v>
      </c>
      <c r="D1582" s="4">
        <v>25848924</v>
      </c>
      <c r="E1582" s="4">
        <v>13</v>
      </c>
      <c r="F1582" s="4" t="s">
        <v>1433</v>
      </c>
      <c r="G1582" s="4">
        <v>13</v>
      </c>
      <c r="H1582" s="4">
        <v>0</v>
      </c>
      <c r="I1582" s="4">
        <v>0</v>
      </c>
      <c r="J1582" s="4"/>
      <c r="K1582" s="4"/>
      <c r="L1582" s="4"/>
      <c r="M1582" s="4"/>
      <c r="N1582" s="4"/>
      <c r="O1582" s="4"/>
    </row>
    <row r="1583" spans="1:15" x14ac:dyDescent="0.3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</row>
    <row r="1584" spans="1:15" x14ac:dyDescent="0.3">
      <c r="A1584" s="4" t="s">
        <v>836</v>
      </c>
      <c r="B1584" s="4" t="s">
        <v>49</v>
      </c>
      <c r="C1584" s="4" t="s">
        <v>12</v>
      </c>
      <c r="D1584" s="4">
        <v>25848978</v>
      </c>
      <c r="E1584" s="4">
        <v>13</v>
      </c>
      <c r="F1584" s="4" t="s">
        <v>1433</v>
      </c>
      <c r="G1584" s="4">
        <v>13</v>
      </c>
      <c r="H1584" s="4">
        <v>0</v>
      </c>
      <c r="I1584" s="4">
        <v>0</v>
      </c>
      <c r="J1584" s="4"/>
      <c r="K1584" s="4"/>
      <c r="L1584" s="4"/>
      <c r="M1584" s="4"/>
      <c r="N1584" s="4"/>
      <c r="O1584" s="4"/>
    </row>
    <row r="1585" spans="1:15" x14ac:dyDescent="0.3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</row>
    <row r="1586" spans="1:15" x14ac:dyDescent="0.3">
      <c r="A1586" s="4" t="s">
        <v>837</v>
      </c>
      <c r="B1586" s="4" t="s">
        <v>49</v>
      </c>
      <c r="C1586" s="4" t="s">
        <v>12</v>
      </c>
      <c r="D1586" s="4">
        <v>25849116</v>
      </c>
      <c r="E1586" s="4">
        <v>14</v>
      </c>
      <c r="F1586" s="4" t="s">
        <v>1433</v>
      </c>
      <c r="G1586" s="4">
        <v>14</v>
      </c>
      <c r="H1586" s="4">
        <v>0</v>
      </c>
      <c r="I1586" s="4">
        <v>0</v>
      </c>
      <c r="J1586" s="4"/>
      <c r="K1586" s="4"/>
      <c r="L1586" s="4"/>
      <c r="M1586" s="4"/>
      <c r="N1586" s="4"/>
      <c r="O1586" s="4"/>
    </row>
    <row r="1587" spans="1:15" x14ac:dyDescent="0.3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</row>
    <row r="1588" spans="1:15" x14ac:dyDescent="0.3">
      <c r="A1588" s="4" t="s">
        <v>838</v>
      </c>
      <c r="B1588" s="4" t="s">
        <v>49</v>
      </c>
      <c r="C1588" s="4" t="s">
        <v>12</v>
      </c>
      <c r="D1588" s="4">
        <v>25849386</v>
      </c>
      <c r="E1588" s="4">
        <v>50</v>
      </c>
      <c r="F1588" s="4" t="s">
        <v>1433</v>
      </c>
      <c r="G1588" s="4">
        <v>50</v>
      </c>
      <c r="H1588" s="4">
        <v>0</v>
      </c>
      <c r="I1588" s="4">
        <v>0</v>
      </c>
      <c r="J1588" s="4"/>
      <c r="K1588" s="4"/>
      <c r="L1588" s="4"/>
      <c r="M1588" s="4"/>
      <c r="N1588" s="4"/>
      <c r="O1588" s="4"/>
    </row>
    <row r="1589" spans="1:15" x14ac:dyDescent="0.3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</row>
    <row r="1590" spans="1:15" x14ac:dyDescent="0.3">
      <c r="A1590" s="4" t="s">
        <v>839</v>
      </c>
      <c r="B1590" s="4" t="s">
        <v>49</v>
      </c>
      <c r="C1590" s="4" t="s">
        <v>12</v>
      </c>
      <c r="D1590" s="4">
        <v>25849476</v>
      </c>
      <c r="E1590" s="4">
        <v>17</v>
      </c>
      <c r="F1590" s="4" t="s">
        <v>1433</v>
      </c>
      <c r="G1590" s="4">
        <v>17</v>
      </c>
      <c r="H1590" s="4">
        <v>0</v>
      </c>
      <c r="I1590" s="4">
        <v>0</v>
      </c>
      <c r="J1590" s="4"/>
      <c r="K1590" s="4"/>
      <c r="L1590" s="4"/>
      <c r="M1590" s="4"/>
      <c r="N1590" s="4"/>
      <c r="O1590" s="4"/>
    </row>
    <row r="1591" spans="1:15" x14ac:dyDescent="0.3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</row>
    <row r="1592" spans="1:15" x14ac:dyDescent="0.3">
      <c r="A1592" s="4" t="s">
        <v>840</v>
      </c>
      <c r="B1592" s="4" t="s">
        <v>49</v>
      </c>
      <c r="C1592" s="4" t="s">
        <v>12</v>
      </c>
      <c r="D1592" s="4">
        <v>25849656</v>
      </c>
      <c r="E1592" s="4">
        <v>2</v>
      </c>
      <c r="F1592" s="4" t="s">
        <v>1433</v>
      </c>
      <c r="G1592" s="4">
        <v>2</v>
      </c>
      <c r="H1592" s="4">
        <v>0</v>
      </c>
      <c r="I1592" s="4">
        <v>0</v>
      </c>
      <c r="J1592" s="4"/>
      <c r="K1592" s="4"/>
      <c r="L1592" s="4"/>
      <c r="M1592" s="4"/>
      <c r="N1592" s="4"/>
      <c r="O1592" s="4"/>
    </row>
    <row r="1593" spans="1:15" x14ac:dyDescent="0.3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</row>
    <row r="1594" spans="1:15" x14ac:dyDescent="0.3">
      <c r="A1594" s="4" t="s">
        <v>841</v>
      </c>
      <c r="B1594" s="4" t="s">
        <v>49</v>
      </c>
      <c r="C1594" s="4" t="s">
        <v>12</v>
      </c>
      <c r="D1594" s="4">
        <v>25849662</v>
      </c>
      <c r="E1594" s="4">
        <v>21</v>
      </c>
      <c r="F1594" s="4" t="s">
        <v>1433</v>
      </c>
      <c r="G1594" s="4">
        <v>21</v>
      </c>
      <c r="H1594" s="4">
        <v>0</v>
      </c>
      <c r="I1594" s="4">
        <v>0</v>
      </c>
      <c r="J1594" s="4"/>
      <c r="K1594" s="4"/>
      <c r="L1594" s="4"/>
      <c r="M1594" s="4"/>
      <c r="N1594" s="4"/>
      <c r="O1594" s="4"/>
    </row>
    <row r="1595" spans="1:15" x14ac:dyDescent="0.3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</row>
    <row r="1596" spans="1:15" x14ac:dyDescent="0.3">
      <c r="A1596" s="4" t="s">
        <v>842</v>
      </c>
      <c r="B1596" s="4" t="s">
        <v>49</v>
      </c>
      <c r="C1596" s="4" t="s">
        <v>12</v>
      </c>
      <c r="D1596" s="4">
        <v>25849674</v>
      </c>
      <c r="E1596" s="4">
        <v>11</v>
      </c>
      <c r="F1596" s="4" t="s">
        <v>1433</v>
      </c>
      <c r="G1596" s="4">
        <v>11</v>
      </c>
      <c r="H1596" s="4">
        <v>0</v>
      </c>
      <c r="I1596" s="4">
        <v>0</v>
      </c>
      <c r="J1596" s="4"/>
      <c r="K1596" s="4"/>
      <c r="L1596" s="4"/>
      <c r="M1596" s="4"/>
      <c r="N1596" s="4"/>
      <c r="O1596" s="4"/>
    </row>
    <row r="1597" spans="1:15" x14ac:dyDescent="0.3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</row>
    <row r="1598" spans="1:15" x14ac:dyDescent="0.3">
      <c r="A1598" s="4" t="s">
        <v>843</v>
      </c>
      <c r="B1598" s="4" t="s">
        <v>49</v>
      </c>
      <c r="C1598" s="4" t="s">
        <v>12</v>
      </c>
      <c r="D1598" s="4">
        <v>25850310</v>
      </c>
      <c r="E1598" s="4">
        <v>16</v>
      </c>
      <c r="F1598" s="4" t="s">
        <v>1433</v>
      </c>
      <c r="G1598" s="4">
        <v>16</v>
      </c>
      <c r="H1598" s="4">
        <v>0</v>
      </c>
      <c r="I1598" s="4">
        <v>0</v>
      </c>
      <c r="J1598" s="4"/>
      <c r="K1598" s="4"/>
      <c r="L1598" s="4"/>
      <c r="M1598" s="4"/>
      <c r="N1598" s="4"/>
      <c r="O1598" s="4"/>
    </row>
    <row r="1599" spans="1:15" x14ac:dyDescent="0.3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</row>
    <row r="1600" spans="1:15" x14ac:dyDescent="0.3">
      <c r="A1600" s="4" t="s">
        <v>844</v>
      </c>
      <c r="B1600" s="4" t="s">
        <v>49</v>
      </c>
      <c r="C1600" s="4" t="s">
        <v>12</v>
      </c>
      <c r="D1600" s="4">
        <v>25850418</v>
      </c>
      <c r="E1600" s="4">
        <v>184</v>
      </c>
      <c r="F1600" s="4" t="s">
        <v>1433</v>
      </c>
      <c r="G1600" s="4">
        <v>184</v>
      </c>
      <c r="H1600" s="4">
        <v>0</v>
      </c>
      <c r="I1600" s="4">
        <v>0</v>
      </c>
      <c r="J1600" s="4"/>
      <c r="K1600" s="4"/>
      <c r="L1600" s="4"/>
      <c r="M1600" s="4"/>
      <c r="N1600" s="4"/>
      <c r="O1600" s="4"/>
    </row>
    <row r="1601" spans="1:15" x14ac:dyDescent="0.3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</row>
    <row r="1602" spans="1:15" x14ac:dyDescent="0.3">
      <c r="A1602" s="4" t="s">
        <v>845</v>
      </c>
      <c r="B1602" s="4" t="s">
        <v>49</v>
      </c>
      <c r="C1602" s="4" t="s">
        <v>12</v>
      </c>
      <c r="D1602" s="4">
        <v>25850436</v>
      </c>
      <c r="E1602" s="4">
        <v>9</v>
      </c>
      <c r="F1602" s="4" t="s">
        <v>1433</v>
      </c>
      <c r="G1602" s="4">
        <v>9</v>
      </c>
      <c r="H1602" s="4">
        <v>0</v>
      </c>
      <c r="I1602" s="4">
        <v>0</v>
      </c>
      <c r="J1602" s="4"/>
      <c r="K1602" s="4"/>
      <c r="L1602" s="4"/>
      <c r="M1602" s="4"/>
      <c r="N1602" s="4"/>
      <c r="O1602" s="4"/>
    </row>
    <row r="1603" spans="1:15" x14ac:dyDescent="0.3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</row>
    <row r="1604" spans="1:15" x14ac:dyDescent="0.3">
      <c r="A1604" s="4" t="s">
        <v>846</v>
      </c>
      <c r="B1604" s="4" t="s">
        <v>49</v>
      </c>
      <c r="C1604" s="4" t="s">
        <v>12</v>
      </c>
      <c r="D1604" s="4">
        <v>25850676</v>
      </c>
      <c r="E1604" s="4">
        <v>13</v>
      </c>
      <c r="F1604" s="4" t="s">
        <v>1433</v>
      </c>
      <c r="G1604" s="4">
        <v>13</v>
      </c>
      <c r="H1604" s="4">
        <v>0</v>
      </c>
      <c r="I1604" s="4">
        <v>0</v>
      </c>
      <c r="J1604" s="4"/>
      <c r="K1604" s="4"/>
      <c r="L1604" s="4"/>
      <c r="M1604" s="4"/>
      <c r="N1604" s="4"/>
      <c r="O1604" s="4"/>
    </row>
    <row r="1605" spans="1:15" x14ac:dyDescent="0.3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</row>
    <row r="1606" spans="1:15" x14ac:dyDescent="0.3">
      <c r="A1606" s="4" t="s">
        <v>847</v>
      </c>
      <c r="B1606" s="4" t="s">
        <v>49</v>
      </c>
      <c r="C1606" s="4" t="s">
        <v>12</v>
      </c>
      <c r="D1606" s="4">
        <v>25850682</v>
      </c>
      <c r="E1606" s="4">
        <v>52</v>
      </c>
      <c r="F1606" s="4" t="s">
        <v>1433</v>
      </c>
      <c r="G1606" s="4">
        <v>52</v>
      </c>
      <c r="H1606" s="4">
        <v>0</v>
      </c>
      <c r="I1606" s="4">
        <v>0</v>
      </c>
      <c r="J1606" s="4"/>
      <c r="K1606" s="4"/>
      <c r="L1606" s="4"/>
      <c r="M1606" s="4"/>
      <c r="N1606" s="4"/>
      <c r="O1606" s="4"/>
    </row>
    <row r="1607" spans="1:15" x14ac:dyDescent="0.3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</row>
    <row r="1608" spans="1:15" x14ac:dyDescent="0.3">
      <c r="A1608" s="4" t="s">
        <v>848</v>
      </c>
      <c r="B1608" s="4" t="s">
        <v>49</v>
      </c>
      <c r="C1608" s="4" t="s">
        <v>12</v>
      </c>
      <c r="D1608" s="4">
        <v>25850694</v>
      </c>
      <c r="E1608" s="4">
        <v>91</v>
      </c>
      <c r="F1608" s="4" t="s">
        <v>1433</v>
      </c>
      <c r="G1608" s="4">
        <v>91</v>
      </c>
      <c r="H1608" s="4">
        <v>0</v>
      </c>
      <c r="I1608" s="4">
        <v>0</v>
      </c>
      <c r="J1608" s="4"/>
      <c r="K1608" s="4"/>
      <c r="L1608" s="4"/>
      <c r="M1608" s="4"/>
      <c r="N1608" s="4"/>
      <c r="O1608" s="4"/>
    </row>
    <row r="1609" spans="1:15" x14ac:dyDescent="0.3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</row>
    <row r="1610" spans="1:15" x14ac:dyDescent="0.3">
      <c r="A1610" s="4" t="s">
        <v>849</v>
      </c>
      <c r="B1610" s="4" t="s">
        <v>49</v>
      </c>
      <c r="C1610" s="4" t="s">
        <v>12</v>
      </c>
      <c r="D1610" s="4">
        <v>25851222</v>
      </c>
      <c r="E1610" s="4">
        <v>26</v>
      </c>
      <c r="F1610" s="4" t="s">
        <v>1433</v>
      </c>
      <c r="G1610" s="4">
        <v>26</v>
      </c>
      <c r="H1610" s="4">
        <v>0</v>
      </c>
      <c r="I1610" s="4">
        <v>0</v>
      </c>
      <c r="J1610" s="4"/>
      <c r="K1610" s="4"/>
      <c r="L1610" s="4"/>
      <c r="M1610" s="4"/>
      <c r="N1610" s="4"/>
      <c r="O1610" s="4"/>
    </row>
    <row r="1611" spans="1:15" x14ac:dyDescent="0.3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</row>
    <row r="1612" spans="1:15" x14ac:dyDescent="0.3">
      <c r="A1612" s="4" t="s">
        <v>850</v>
      </c>
      <c r="B1612" s="4" t="s">
        <v>49</v>
      </c>
      <c r="C1612" s="4" t="s">
        <v>12</v>
      </c>
      <c r="D1612" s="4">
        <v>25851444</v>
      </c>
      <c r="E1612" s="4">
        <v>32</v>
      </c>
      <c r="F1612" s="4" t="s">
        <v>1433</v>
      </c>
      <c r="G1612" s="4">
        <v>32</v>
      </c>
      <c r="H1612" s="4">
        <v>0</v>
      </c>
      <c r="I1612" s="4">
        <v>0</v>
      </c>
      <c r="J1612" s="4"/>
      <c r="K1612" s="4"/>
      <c r="L1612" s="4"/>
      <c r="M1612" s="4"/>
      <c r="N1612" s="4"/>
      <c r="O1612" s="4"/>
    </row>
    <row r="1613" spans="1:15" x14ac:dyDescent="0.3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</row>
    <row r="1614" spans="1:15" x14ac:dyDescent="0.3">
      <c r="A1614" s="4" t="s">
        <v>851</v>
      </c>
      <c r="B1614" s="4" t="s">
        <v>49</v>
      </c>
      <c r="C1614" s="4" t="s">
        <v>12</v>
      </c>
      <c r="D1614" s="4">
        <v>25851504</v>
      </c>
      <c r="E1614" s="4">
        <v>13</v>
      </c>
      <c r="F1614" s="4" t="s">
        <v>1433</v>
      </c>
      <c r="G1614" s="4">
        <v>13</v>
      </c>
      <c r="H1614" s="4">
        <v>0</v>
      </c>
      <c r="I1614" s="4">
        <v>0</v>
      </c>
      <c r="J1614" s="4"/>
      <c r="K1614" s="4"/>
      <c r="L1614" s="4"/>
      <c r="M1614" s="4"/>
      <c r="N1614" s="4"/>
      <c r="O1614" s="4"/>
    </row>
    <row r="1615" spans="1:15" x14ac:dyDescent="0.3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</row>
    <row r="1616" spans="1:15" x14ac:dyDescent="0.3">
      <c r="A1616" s="4" t="s">
        <v>852</v>
      </c>
      <c r="B1616" s="4" t="s">
        <v>49</v>
      </c>
      <c r="C1616" s="4" t="s">
        <v>12</v>
      </c>
      <c r="D1616" s="4">
        <v>25851684</v>
      </c>
      <c r="E1616" s="4">
        <v>22</v>
      </c>
      <c r="F1616" s="4" t="s">
        <v>1433</v>
      </c>
      <c r="G1616" s="4">
        <v>22</v>
      </c>
      <c r="H1616" s="4">
        <v>0</v>
      </c>
      <c r="I1616" s="4">
        <v>0</v>
      </c>
      <c r="J1616" s="4"/>
      <c r="K1616" s="4"/>
      <c r="L1616" s="4"/>
      <c r="M1616" s="4"/>
      <c r="N1616" s="4"/>
      <c r="O1616" s="4"/>
    </row>
    <row r="1617" spans="1:15" x14ac:dyDescent="0.3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</row>
    <row r="1618" spans="1:15" x14ac:dyDescent="0.3">
      <c r="A1618" s="4" t="s">
        <v>853</v>
      </c>
      <c r="B1618" s="4" t="s">
        <v>49</v>
      </c>
      <c r="C1618" s="4" t="s">
        <v>12</v>
      </c>
      <c r="D1618" s="4">
        <v>25851726</v>
      </c>
      <c r="E1618" s="4">
        <v>25</v>
      </c>
      <c r="F1618" s="4" t="s">
        <v>1433</v>
      </c>
      <c r="G1618" s="4">
        <v>25</v>
      </c>
      <c r="H1618" s="4">
        <v>0</v>
      </c>
      <c r="I1618" s="4">
        <v>0</v>
      </c>
      <c r="J1618" s="4"/>
      <c r="K1618" s="4"/>
      <c r="L1618" s="4"/>
      <c r="M1618" s="4"/>
      <c r="N1618" s="4"/>
      <c r="O1618" s="4"/>
    </row>
    <row r="1619" spans="1:15" x14ac:dyDescent="0.3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</row>
    <row r="1620" spans="1:15" x14ac:dyDescent="0.3">
      <c r="A1620" s="4" t="s">
        <v>854</v>
      </c>
      <c r="B1620" s="4" t="s">
        <v>49</v>
      </c>
      <c r="C1620" s="4" t="s">
        <v>12</v>
      </c>
      <c r="D1620" s="4">
        <v>25851858</v>
      </c>
      <c r="E1620" s="4">
        <v>45</v>
      </c>
      <c r="F1620" s="4" t="s">
        <v>1433</v>
      </c>
      <c r="G1620" s="4">
        <v>45</v>
      </c>
      <c r="H1620" s="4">
        <v>0</v>
      </c>
      <c r="I1620" s="4">
        <v>0</v>
      </c>
      <c r="J1620" s="4"/>
      <c r="K1620" s="4"/>
      <c r="L1620" s="4"/>
      <c r="M1620" s="4"/>
      <c r="N1620" s="4"/>
      <c r="O1620" s="4"/>
    </row>
    <row r="1621" spans="1:15" x14ac:dyDescent="0.3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</row>
    <row r="1622" spans="1:15" x14ac:dyDescent="0.3">
      <c r="A1622" s="4" t="s">
        <v>855</v>
      </c>
      <c r="B1622" s="4" t="s">
        <v>49</v>
      </c>
      <c r="C1622" s="4" t="s">
        <v>12</v>
      </c>
      <c r="D1622" s="4">
        <v>25852146</v>
      </c>
      <c r="E1622" s="4">
        <v>14</v>
      </c>
      <c r="F1622" s="4" t="s">
        <v>1433</v>
      </c>
      <c r="G1622" s="4">
        <v>14</v>
      </c>
      <c r="H1622" s="4">
        <v>0</v>
      </c>
      <c r="I1622" s="4">
        <v>0</v>
      </c>
      <c r="J1622" s="4"/>
      <c r="K1622" s="4"/>
      <c r="L1622" s="4"/>
      <c r="M1622" s="4"/>
      <c r="N1622" s="4"/>
      <c r="O1622" s="4"/>
    </row>
    <row r="1623" spans="1:15" x14ac:dyDescent="0.3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</row>
    <row r="1624" spans="1:15" x14ac:dyDescent="0.3">
      <c r="A1624" s="4" t="s">
        <v>856</v>
      </c>
      <c r="B1624" s="4" t="s">
        <v>49</v>
      </c>
      <c r="C1624" s="4" t="s">
        <v>12</v>
      </c>
      <c r="D1624" s="4">
        <v>25852176</v>
      </c>
      <c r="E1624" s="4">
        <v>17</v>
      </c>
      <c r="F1624" s="4" t="s">
        <v>1433</v>
      </c>
      <c r="G1624" s="4">
        <v>17</v>
      </c>
      <c r="H1624" s="4">
        <v>0</v>
      </c>
      <c r="I1624" s="4">
        <v>0</v>
      </c>
      <c r="J1624" s="4"/>
      <c r="K1624" s="4"/>
      <c r="L1624" s="4"/>
      <c r="M1624" s="4"/>
      <c r="N1624" s="4"/>
      <c r="O1624" s="4"/>
    </row>
    <row r="1625" spans="1:15" x14ac:dyDescent="0.3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</row>
    <row r="1626" spans="1:15" x14ac:dyDescent="0.3">
      <c r="A1626" s="4" t="s">
        <v>857</v>
      </c>
      <c r="B1626" s="4" t="s">
        <v>49</v>
      </c>
      <c r="C1626" s="4" t="s">
        <v>12</v>
      </c>
      <c r="D1626" s="4">
        <v>25852536</v>
      </c>
      <c r="E1626" s="4">
        <v>19</v>
      </c>
      <c r="F1626" s="4" t="s">
        <v>1433</v>
      </c>
      <c r="G1626" s="4">
        <v>19</v>
      </c>
      <c r="H1626" s="4">
        <v>0</v>
      </c>
      <c r="I1626" s="4">
        <v>0</v>
      </c>
      <c r="J1626" s="4"/>
      <c r="K1626" s="4"/>
      <c r="L1626" s="4"/>
      <c r="M1626" s="4"/>
      <c r="N1626" s="4"/>
      <c r="O1626" s="4"/>
    </row>
    <row r="1627" spans="1:15" x14ac:dyDescent="0.3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</row>
    <row r="1628" spans="1:15" x14ac:dyDescent="0.3">
      <c r="A1628" s="4" t="s">
        <v>858</v>
      </c>
      <c r="B1628" s="4" t="s">
        <v>49</v>
      </c>
      <c r="C1628" s="4" t="s">
        <v>12</v>
      </c>
      <c r="D1628" s="4">
        <v>25852566</v>
      </c>
      <c r="E1628" s="4">
        <v>183</v>
      </c>
      <c r="F1628" s="4" t="s">
        <v>1433</v>
      </c>
      <c r="G1628" s="4">
        <v>183</v>
      </c>
      <c r="H1628" s="4">
        <v>0</v>
      </c>
      <c r="I1628" s="4">
        <v>0</v>
      </c>
      <c r="J1628" s="4"/>
      <c r="K1628" s="4"/>
      <c r="L1628" s="4"/>
      <c r="M1628" s="4"/>
      <c r="N1628" s="4"/>
      <c r="O1628" s="4"/>
    </row>
    <row r="1629" spans="1:15" x14ac:dyDescent="0.3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</row>
    <row r="1630" spans="1:15" x14ac:dyDescent="0.3">
      <c r="A1630" s="4" t="s">
        <v>859</v>
      </c>
      <c r="B1630" s="4" t="s">
        <v>49</v>
      </c>
      <c r="C1630" s="4" t="s">
        <v>12</v>
      </c>
      <c r="D1630" s="4">
        <v>25852614</v>
      </c>
      <c r="E1630" s="4">
        <v>43</v>
      </c>
      <c r="F1630" s="4" t="s">
        <v>1433</v>
      </c>
      <c r="G1630" s="4">
        <v>43</v>
      </c>
      <c r="H1630" s="4">
        <v>0</v>
      </c>
      <c r="I1630" s="4">
        <v>0</v>
      </c>
      <c r="J1630" s="4"/>
      <c r="K1630" s="4"/>
      <c r="L1630" s="4"/>
      <c r="M1630" s="4"/>
      <c r="N1630" s="4"/>
      <c r="O1630" s="4"/>
    </row>
    <row r="1631" spans="1:15" x14ac:dyDescent="0.3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</row>
    <row r="1632" spans="1:15" x14ac:dyDescent="0.3">
      <c r="A1632" s="4" t="s">
        <v>860</v>
      </c>
      <c r="B1632" s="4" t="s">
        <v>49</v>
      </c>
      <c r="C1632" s="4" t="s">
        <v>12</v>
      </c>
      <c r="D1632" s="4">
        <v>25852674</v>
      </c>
      <c r="E1632" s="4">
        <v>19</v>
      </c>
      <c r="F1632" s="4" t="s">
        <v>1433</v>
      </c>
      <c r="G1632" s="4">
        <v>19</v>
      </c>
      <c r="H1632" s="4">
        <v>0</v>
      </c>
      <c r="I1632" s="4">
        <v>0</v>
      </c>
      <c r="J1632" s="4"/>
      <c r="K1632" s="4"/>
      <c r="L1632" s="4"/>
      <c r="M1632" s="4"/>
      <c r="N1632" s="4"/>
      <c r="O1632" s="4"/>
    </row>
    <row r="1633" spans="1:15" x14ac:dyDescent="0.3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</row>
    <row r="1634" spans="1:15" x14ac:dyDescent="0.3">
      <c r="A1634" s="4" t="s">
        <v>861</v>
      </c>
      <c r="B1634" s="4" t="s">
        <v>49</v>
      </c>
      <c r="C1634" s="4" t="s">
        <v>12</v>
      </c>
      <c r="D1634" s="4">
        <v>25852692</v>
      </c>
      <c r="E1634" s="4">
        <v>17</v>
      </c>
      <c r="F1634" s="4" t="s">
        <v>1433</v>
      </c>
      <c r="G1634" s="4">
        <v>17</v>
      </c>
      <c r="H1634" s="4">
        <v>0</v>
      </c>
      <c r="I1634" s="4">
        <v>0</v>
      </c>
      <c r="J1634" s="4"/>
      <c r="K1634" s="4"/>
      <c r="L1634" s="4"/>
      <c r="M1634" s="4"/>
      <c r="N1634" s="4"/>
      <c r="O1634" s="4"/>
    </row>
    <row r="1635" spans="1:15" x14ac:dyDescent="0.3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</row>
    <row r="1636" spans="1:15" x14ac:dyDescent="0.3">
      <c r="A1636" s="4" t="s">
        <v>862</v>
      </c>
      <c r="B1636" s="4" t="s">
        <v>49</v>
      </c>
      <c r="C1636" s="4" t="s">
        <v>12</v>
      </c>
      <c r="D1636" s="4">
        <v>25852782</v>
      </c>
      <c r="E1636" s="4">
        <v>75</v>
      </c>
      <c r="F1636" s="4" t="s">
        <v>1433</v>
      </c>
      <c r="G1636" s="4">
        <v>75</v>
      </c>
      <c r="H1636" s="4">
        <v>0</v>
      </c>
      <c r="I1636" s="4">
        <v>0</v>
      </c>
      <c r="J1636" s="4"/>
      <c r="K1636" s="4"/>
      <c r="L1636" s="4"/>
      <c r="M1636" s="4"/>
      <c r="N1636" s="4"/>
      <c r="O1636" s="4"/>
    </row>
    <row r="1637" spans="1:15" x14ac:dyDescent="0.3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</row>
    <row r="1638" spans="1:15" x14ac:dyDescent="0.3">
      <c r="A1638" s="4" t="s">
        <v>863</v>
      </c>
      <c r="B1638" s="4" t="s">
        <v>49</v>
      </c>
      <c r="C1638" s="4" t="s">
        <v>12</v>
      </c>
      <c r="D1638" s="4">
        <v>25852890</v>
      </c>
      <c r="E1638" s="4">
        <v>31</v>
      </c>
      <c r="F1638" s="4" t="s">
        <v>1433</v>
      </c>
      <c r="G1638" s="4">
        <v>31</v>
      </c>
      <c r="H1638" s="4">
        <v>0</v>
      </c>
      <c r="I1638" s="4">
        <v>0</v>
      </c>
      <c r="J1638" s="4"/>
      <c r="K1638" s="4"/>
      <c r="L1638" s="4"/>
      <c r="M1638" s="4"/>
      <c r="N1638" s="4"/>
      <c r="O1638" s="4"/>
    </row>
    <row r="1639" spans="1:15" x14ac:dyDescent="0.3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</row>
    <row r="1640" spans="1:15" x14ac:dyDescent="0.3">
      <c r="A1640" s="4" t="s">
        <v>864</v>
      </c>
      <c r="B1640" s="4" t="s">
        <v>49</v>
      </c>
      <c r="C1640" s="4" t="s">
        <v>12</v>
      </c>
      <c r="D1640" s="4">
        <v>25852938</v>
      </c>
      <c r="E1640" s="4">
        <v>21</v>
      </c>
      <c r="F1640" s="4" t="s">
        <v>1433</v>
      </c>
      <c r="G1640" s="4">
        <v>21</v>
      </c>
      <c r="H1640" s="4">
        <v>0</v>
      </c>
      <c r="I1640" s="4">
        <v>0</v>
      </c>
      <c r="J1640" s="4"/>
      <c r="K1640" s="4"/>
      <c r="L1640" s="4"/>
      <c r="M1640" s="4"/>
      <c r="N1640" s="4"/>
      <c r="O1640" s="4"/>
    </row>
    <row r="1641" spans="1:15" x14ac:dyDescent="0.3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</row>
    <row r="1642" spans="1:15" x14ac:dyDescent="0.3">
      <c r="A1642" s="4" t="s">
        <v>865</v>
      </c>
      <c r="B1642" s="4" t="s">
        <v>49</v>
      </c>
      <c r="C1642" s="4" t="s">
        <v>12</v>
      </c>
      <c r="D1642" s="4">
        <v>25852974</v>
      </c>
      <c r="E1642" s="4">
        <v>116</v>
      </c>
      <c r="F1642" s="4" t="s">
        <v>1433</v>
      </c>
      <c r="G1642" s="4">
        <v>116</v>
      </c>
      <c r="H1642" s="4">
        <v>0</v>
      </c>
      <c r="I1642" s="4">
        <v>0</v>
      </c>
      <c r="J1642" s="4"/>
      <c r="K1642" s="4"/>
      <c r="L1642" s="4"/>
      <c r="M1642" s="4"/>
      <c r="N1642" s="4"/>
      <c r="O1642" s="4"/>
    </row>
    <row r="1643" spans="1:15" x14ac:dyDescent="0.3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</row>
    <row r="1644" spans="1:15" x14ac:dyDescent="0.3">
      <c r="A1644" s="4" t="s">
        <v>866</v>
      </c>
      <c r="B1644" s="4" t="s">
        <v>49</v>
      </c>
      <c r="C1644" s="4" t="s">
        <v>12</v>
      </c>
      <c r="D1644" s="4">
        <v>25853178</v>
      </c>
      <c r="E1644" s="4">
        <v>48</v>
      </c>
      <c r="F1644" s="4" t="s">
        <v>1433</v>
      </c>
      <c r="G1644" s="4">
        <v>48</v>
      </c>
      <c r="H1644" s="4">
        <v>0</v>
      </c>
      <c r="I1644" s="4">
        <v>0</v>
      </c>
      <c r="J1644" s="4"/>
      <c r="K1644" s="4"/>
      <c r="L1644" s="4"/>
      <c r="M1644" s="4"/>
      <c r="N1644" s="4"/>
      <c r="O1644" s="4"/>
    </row>
    <row r="1645" spans="1:15" x14ac:dyDescent="0.3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</row>
    <row r="1646" spans="1:15" x14ac:dyDescent="0.3">
      <c r="A1646" s="4" t="s">
        <v>867</v>
      </c>
      <c r="B1646" s="4" t="s">
        <v>49</v>
      </c>
      <c r="C1646" s="4" t="s">
        <v>12</v>
      </c>
      <c r="D1646" s="4">
        <v>25853382</v>
      </c>
      <c r="E1646" s="4">
        <v>85</v>
      </c>
      <c r="F1646" s="4" t="s">
        <v>1433</v>
      </c>
      <c r="G1646" s="4">
        <v>85</v>
      </c>
      <c r="H1646" s="4">
        <v>0</v>
      </c>
      <c r="I1646" s="4">
        <v>0</v>
      </c>
      <c r="J1646" s="4"/>
      <c r="K1646" s="4"/>
      <c r="L1646" s="4"/>
      <c r="M1646" s="4"/>
      <c r="N1646" s="4"/>
      <c r="O1646" s="4"/>
    </row>
    <row r="1647" spans="1:15" x14ac:dyDescent="0.3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</row>
    <row r="1648" spans="1:15" x14ac:dyDescent="0.3">
      <c r="A1648" s="4" t="s">
        <v>868</v>
      </c>
      <c r="B1648" s="4" t="s">
        <v>49</v>
      </c>
      <c r="C1648" s="4" t="s">
        <v>12</v>
      </c>
      <c r="D1648" s="4">
        <v>25853394</v>
      </c>
      <c r="E1648" s="4">
        <v>41</v>
      </c>
      <c r="F1648" s="4" t="s">
        <v>1433</v>
      </c>
      <c r="G1648" s="4">
        <v>41</v>
      </c>
      <c r="H1648" s="4">
        <v>0</v>
      </c>
      <c r="I1648" s="4">
        <v>0</v>
      </c>
      <c r="J1648" s="4"/>
      <c r="K1648" s="4"/>
      <c r="L1648" s="4"/>
      <c r="M1648" s="4"/>
      <c r="N1648" s="4"/>
      <c r="O1648" s="4"/>
    </row>
    <row r="1649" spans="1:15" x14ac:dyDescent="0.3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</row>
    <row r="1650" spans="1:15" x14ac:dyDescent="0.3">
      <c r="A1650" s="4" t="s">
        <v>869</v>
      </c>
      <c r="B1650" s="4" t="s">
        <v>49</v>
      </c>
      <c r="C1650" s="4" t="s">
        <v>12</v>
      </c>
      <c r="D1650" s="4">
        <v>25853472</v>
      </c>
      <c r="E1650" s="4">
        <v>17</v>
      </c>
      <c r="F1650" s="4" t="s">
        <v>1433</v>
      </c>
      <c r="G1650" s="4">
        <v>17</v>
      </c>
      <c r="H1650" s="4">
        <v>0</v>
      </c>
      <c r="I1650" s="4">
        <v>0</v>
      </c>
      <c r="J1650" s="4"/>
      <c r="K1650" s="4"/>
      <c r="L1650" s="4"/>
      <c r="M1650" s="4"/>
      <c r="N1650" s="4"/>
      <c r="O1650" s="4"/>
    </row>
    <row r="1651" spans="1:15" x14ac:dyDescent="0.3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</row>
    <row r="1652" spans="1:15" x14ac:dyDescent="0.3">
      <c r="A1652" s="4" t="s">
        <v>870</v>
      </c>
      <c r="B1652" s="4" t="s">
        <v>49</v>
      </c>
      <c r="C1652" s="4" t="s">
        <v>12</v>
      </c>
      <c r="D1652" s="4">
        <v>25853562</v>
      </c>
      <c r="E1652" s="4">
        <v>19</v>
      </c>
      <c r="F1652" s="4" t="s">
        <v>1433</v>
      </c>
      <c r="G1652" s="4">
        <v>19</v>
      </c>
      <c r="H1652" s="4">
        <v>0</v>
      </c>
      <c r="I1652" s="4">
        <v>0</v>
      </c>
      <c r="J1652" s="4"/>
      <c r="K1652" s="4"/>
      <c r="L1652" s="4"/>
      <c r="M1652" s="4"/>
      <c r="N1652" s="4"/>
      <c r="O1652" s="4"/>
    </row>
    <row r="1653" spans="1:15" x14ac:dyDescent="0.3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</row>
    <row r="1654" spans="1:15" x14ac:dyDescent="0.3">
      <c r="A1654" s="4" t="s">
        <v>871</v>
      </c>
      <c r="B1654" s="4" t="s">
        <v>49</v>
      </c>
      <c r="C1654" s="4" t="s">
        <v>12</v>
      </c>
      <c r="D1654" s="4">
        <v>25853700</v>
      </c>
      <c r="E1654" s="4">
        <v>138</v>
      </c>
      <c r="F1654" s="4" t="s">
        <v>1433</v>
      </c>
      <c r="G1654" s="4">
        <v>138</v>
      </c>
      <c r="H1654" s="4">
        <v>0</v>
      </c>
      <c r="I1654" s="4">
        <v>0</v>
      </c>
      <c r="J1654" s="4"/>
      <c r="K1654" s="4"/>
      <c r="L1654" s="4"/>
      <c r="M1654" s="4"/>
      <c r="N1654" s="4"/>
      <c r="O1654" s="4"/>
    </row>
    <row r="1655" spans="1:15" x14ac:dyDescent="0.3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</row>
    <row r="1656" spans="1:15" x14ac:dyDescent="0.3">
      <c r="A1656" s="4" t="s">
        <v>872</v>
      </c>
      <c r="B1656" s="4" t="s">
        <v>49</v>
      </c>
      <c r="C1656" s="4" t="s">
        <v>12</v>
      </c>
      <c r="D1656" s="4">
        <v>25854090</v>
      </c>
      <c r="E1656" s="4">
        <v>29</v>
      </c>
      <c r="F1656" s="4" t="s">
        <v>1433</v>
      </c>
      <c r="G1656" s="4">
        <v>29</v>
      </c>
      <c r="H1656" s="4">
        <v>0</v>
      </c>
      <c r="I1656" s="4">
        <v>0</v>
      </c>
      <c r="J1656" s="4"/>
      <c r="K1656" s="4"/>
      <c r="L1656" s="4"/>
      <c r="M1656" s="4"/>
      <c r="N1656" s="4"/>
      <c r="O1656" s="4"/>
    </row>
    <row r="1657" spans="1:15" x14ac:dyDescent="0.3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</row>
    <row r="1658" spans="1:15" x14ac:dyDescent="0.3">
      <c r="A1658" s="4" t="s">
        <v>873</v>
      </c>
      <c r="B1658" s="4" t="s">
        <v>49</v>
      </c>
      <c r="C1658" s="4" t="s">
        <v>12</v>
      </c>
      <c r="D1658" s="4">
        <v>25854102</v>
      </c>
      <c r="E1658" s="4">
        <v>15</v>
      </c>
      <c r="F1658" s="4" t="s">
        <v>1433</v>
      </c>
      <c r="G1658" s="4">
        <v>15</v>
      </c>
      <c r="H1658" s="4">
        <v>0</v>
      </c>
      <c r="I1658" s="4">
        <v>0</v>
      </c>
      <c r="J1658" s="4"/>
      <c r="K1658" s="4"/>
      <c r="L1658" s="4"/>
      <c r="M1658" s="4"/>
      <c r="N1658" s="4"/>
      <c r="O1658" s="4"/>
    </row>
    <row r="1659" spans="1:15" x14ac:dyDescent="0.3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</row>
    <row r="1660" spans="1:15" x14ac:dyDescent="0.3">
      <c r="A1660" s="4" t="s">
        <v>874</v>
      </c>
      <c r="B1660" s="4" t="s">
        <v>49</v>
      </c>
      <c r="C1660" s="4" t="s">
        <v>12</v>
      </c>
      <c r="D1660" s="4">
        <v>25854360</v>
      </c>
      <c r="E1660" s="4">
        <v>38</v>
      </c>
      <c r="F1660" s="4" t="s">
        <v>1433</v>
      </c>
      <c r="G1660" s="4">
        <v>38</v>
      </c>
      <c r="H1660" s="4">
        <v>0</v>
      </c>
      <c r="I1660" s="4">
        <v>0</v>
      </c>
      <c r="J1660" s="4"/>
      <c r="K1660" s="4"/>
      <c r="L1660" s="4"/>
      <c r="M1660" s="4"/>
      <c r="N1660" s="4"/>
      <c r="O1660" s="4"/>
    </row>
    <row r="1661" spans="1:15" x14ac:dyDescent="0.3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</row>
    <row r="1662" spans="1:15" x14ac:dyDescent="0.3">
      <c r="A1662" s="4" t="s">
        <v>875</v>
      </c>
      <c r="B1662" s="4" t="s">
        <v>49</v>
      </c>
      <c r="C1662" s="4" t="s">
        <v>12</v>
      </c>
      <c r="D1662" s="4">
        <v>25854930</v>
      </c>
      <c r="E1662" s="4">
        <v>17</v>
      </c>
      <c r="F1662" s="4" t="s">
        <v>1433</v>
      </c>
      <c r="G1662" s="4">
        <v>17</v>
      </c>
      <c r="H1662" s="4">
        <v>0</v>
      </c>
      <c r="I1662" s="4">
        <v>0</v>
      </c>
      <c r="J1662" s="4"/>
      <c r="K1662" s="4"/>
      <c r="L1662" s="4"/>
      <c r="M1662" s="4"/>
      <c r="N1662" s="4"/>
      <c r="O1662" s="4"/>
    </row>
    <row r="1663" spans="1:15" x14ac:dyDescent="0.3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</row>
    <row r="1664" spans="1:15" x14ac:dyDescent="0.3">
      <c r="A1664" s="4" t="s">
        <v>876</v>
      </c>
      <c r="B1664" s="4" t="s">
        <v>49</v>
      </c>
      <c r="C1664" s="4" t="s">
        <v>12</v>
      </c>
      <c r="D1664" s="4">
        <v>25854954</v>
      </c>
      <c r="E1664" s="4">
        <v>12</v>
      </c>
      <c r="F1664" s="4" t="s">
        <v>1433</v>
      </c>
      <c r="G1664" s="4">
        <v>12</v>
      </c>
      <c r="H1664" s="4">
        <v>0</v>
      </c>
      <c r="I1664" s="4">
        <v>0</v>
      </c>
      <c r="J1664" s="4"/>
      <c r="K1664" s="4"/>
      <c r="L1664" s="4"/>
      <c r="M1664" s="4"/>
      <c r="N1664" s="4"/>
      <c r="O1664" s="4"/>
    </row>
    <row r="1665" spans="1:15" x14ac:dyDescent="0.3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</row>
    <row r="1666" spans="1:15" x14ac:dyDescent="0.3">
      <c r="A1666" s="4" t="s">
        <v>877</v>
      </c>
      <c r="B1666" s="4" t="s">
        <v>49</v>
      </c>
      <c r="C1666" s="4" t="s">
        <v>12</v>
      </c>
      <c r="D1666" s="4">
        <v>25855044</v>
      </c>
      <c r="E1666" s="4">
        <v>15</v>
      </c>
      <c r="F1666" s="4" t="s">
        <v>1433</v>
      </c>
      <c r="G1666" s="4">
        <v>15</v>
      </c>
      <c r="H1666" s="4">
        <v>0</v>
      </c>
      <c r="I1666" s="4">
        <v>0</v>
      </c>
      <c r="J1666" s="4"/>
      <c r="K1666" s="4"/>
      <c r="L1666" s="4"/>
      <c r="M1666" s="4"/>
      <c r="N1666" s="4"/>
      <c r="O1666" s="4"/>
    </row>
    <row r="1667" spans="1:15" x14ac:dyDescent="0.3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</row>
    <row r="1668" spans="1:15" x14ac:dyDescent="0.3">
      <c r="A1668" s="4" t="s">
        <v>878</v>
      </c>
      <c r="B1668" s="4" t="s">
        <v>49</v>
      </c>
      <c r="C1668" s="4" t="s">
        <v>12</v>
      </c>
      <c r="D1668" s="4">
        <v>25855098</v>
      </c>
      <c r="E1668" s="4">
        <v>10</v>
      </c>
      <c r="F1668" s="4" t="s">
        <v>1433</v>
      </c>
      <c r="G1668" s="4">
        <v>10</v>
      </c>
      <c r="H1668" s="4">
        <v>0</v>
      </c>
      <c r="I1668" s="4">
        <v>0</v>
      </c>
      <c r="J1668" s="4"/>
      <c r="K1668" s="4"/>
      <c r="L1668" s="4"/>
      <c r="M1668" s="4"/>
      <c r="N1668" s="4"/>
      <c r="O1668" s="4"/>
    </row>
    <row r="1669" spans="1:15" x14ac:dyDescent="0.3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</row>
    <row r="1670" spans="1:15" x14ac:dyDescent="0.3">
      <c r="A1670" s="4" t="s">
        <v>879</v>
      </c>
      <c r="B1670" s="4" t="s">
        <v>49</v>
      </c>
      <c r="C1670" s="4" t="s">
        <v>12</v>
      </c>
      <c r="D1670" s="4">
        <v>25855104</v>
      </c>
      <c r="E1670" s="4">
        <v>61</v>
      </c>
      <c r="F1670" s="4" t="s">
        <v>1433</v>
      </c>
      <c r="G1670" s="4">
        <v>61</v>
      </c>
      <c r="H1670" s="4">
        <v>0</v>
      </c>
      <c r="I1670" s="4">
        <v>0</v>
      </c>
      <c r="J1670" s="4"/>
      <c r="K1670" s="4"/>
      <c r="L1670" s="4"/>
      <c r="M1670" s="4"/>
      <c r="N1670" s="4"/>
      <c r="O1670" s="4"/>
    </row>
    <row r="1671" spans="1:15" x14ac:dyDescent="0.3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</row>
    <row r="1672" spans="1:15" x14ac:dyDescent="0.3">
      <c r="A1672" s="4" t="s">
        <v>880</v>
      </c>
      <c r="B1672" s="4" t="s">
        <v>49</v>
      </c>
      <c r="C1672" s="4" t="s">
        <v>12</v>
      </c>
      <c r="D1672" s="4">
        <v>25855404</v>
      </c>
      <c r="E1672" s="4">
        <v>17</v>
      </c>
      <c r="F1672" s="4" t="s">
        <v>1433</v>
      </c>
      <c r="G1672" s="4">
        <v>17</v>
      </c>
      <c r="H1672" s="4">
        <v>0</v>
      </c>
      <c r="I1672" s="4">
        <v>0</v>
      </c>
      <c r="J1672" s="4"/>
      <c r="K1672" s="4"/>
      <c r="L1672" s="4"/>
      <c r="M1672" s="4"/>
      <c r="N1672" s="4"/>
      <c r="O1672" s="4"/>
    </row>
    <row r="1673" spans="1:15" x14ac:dyDescent="0.3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</row>
    <row r="1674" spans="1:15" x14ac:dyDescent="0.3">
      <c r="A1674" s="4" t="s">
        <v>881</v>
      </c>
      <c r="B1674" s="4" t="s">
        <v>49</v>
      </c>
      <c r="C1674" s="4" t="s">
        <v>12</v>
      </c>
      <c r="D1674" s="4">
        <v>25855512</v>
      </c>
      <c r="E1674" s="4">
        <v>29</v>
      </c>
      <c r="F1674" s="4" t="s">
        <v>1433</v>
      </c>
      <c r="G1674" s="4">
        <v>29</v>
      </c>
      <c r="H1674" s="4">
        <v>0</v>
      </c>
      <c r="I1674" s="4">
        <v>0</v>
      </c>
      <c r="J1674" s="4"/>
      <c r="K1674" s="4"/>
      <c r="L1674" s="4"/>
      <c r="M1674" s="4"/>
      <c r="N1674" s="4"/>
      <c r="O1674" s="4"/>
    </row>
    <row r="1675" spans="1:15" x14ac:dyDescent="0.3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</row>
    <row r="1676" spans="1:15" x14ac:dyDescent="0.3">
      <c r="A1676" s="4" t="s">
        <v>882</v>
      </c>
      <c r="B1676" s="4" t="s">
        <v>49</v>
      </c>
      <c r="C1676" s="4" t="s">
        <v>12</v>
      </c>
      <c r="D1676" s="4">
        <v>25855524</v>
      </c>
      <c r="E1676" s="4">
        <v>12</v>
      </c>
      <c r="F1676" s="4" t="s">
        <v>1433</v>
      </c>
      <c r="G1676" s="4">
        <v>12</v>
      </c>
      <c r="H1676" s="4">
        <v>0</v>
      </c>
      <c r="I1676" s="4">
        <v>0</v>
      </c>
      <c r="J1676" s="4"/>
      <c r="K1676" s="4"/>
      <c r="L1676" s="4"/>
      <c r="M1676" s="4"/>
      <c r="N1676" s="4"/>
      <c r="O1676" s="4"/>
    </row>
    <row r="1677" spans="1:15" x14ac:dyDescent="0.3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</row>
    <row r="1678" spans="1:15" x14ac:dyDescent="0.3">
      <c r="A1678" s="4" t="s">
        <v>883</v>
      </c>
      <c r="B1678" s="4" t="s">
        <v>49</v>
      </c>
      <c r="C1678" s="4" t="s">
        <v>12</v>
      </c>
      <c r="D1678" s="4">
        <v>25855536</v>
      </c>
      <c r="E1678" s="4">
        <v>91</v>
      </c>
      <c r="F1678" s="4" t="s">
        <v>1433</v>
      </c>
      <c r="G1678" s="4">
        <v>91</v>
      </c>
      <c r="H1678" s="4">
        <v>0</v>
      </c>
      <c r="I1678" s="4">
        <v>0</v>
      </c>
      <c r="J1678" s="4"/>
      <c r="K1678" s="4"/>
      <c r="L1678" s="4"/>
      <c r="M1678" s="4"/>
      <c r="N1678" s="4"/>
      <c r="O1678" s="4"/>
    </row>
    <row r="1679" spans="1:15" x14ac:dyDescent="0.3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</row>
    <row r="1680" spans="1:15" x14ac:dyDescent="0.3">
      <c r="A1680" s="4" t="s">
        <v>884</v>
      </c>
      <c r="B1680" s="4" t="s">
        <v>49</v>
      </c>
      <c r="C1680" s="4" t="s">
        <v>12</v>
      </c>
      <c r="D1680" s="4">
        <v>25855602</v>
      </c>
      <c r="E1680" s="4">
        <v>89</v>
      </c>
      <c r="F1680" s="4" t="s">
        <v>1433</v>
      </c>
      <c r="G1680" s="4">
        <v>89</v>
      </c>
      <c r="H1680" s="4">
        <v>0</v>
      </c>
      <c r="I1680" s="4">
        <v>0</v>
      </c>
      <c r="J1680" s="4"/>
      <c r="K1680" s="4"/>
      <c r="L1680" s="4"/>
      <c r="M1680" s="4"/>
      <c r="N1680" s="4"/>
      <c r="O1680" s="4"/>
    </row>
    <row r="1681" spans="1:15" x14ac:dyDescent="0.3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</row>
    <row r="1682" spans="1:15" x14ac:dyDescent="0.3">
      <c r="A1682" s="4" t="s">
        <v>885</v>
      </c>
      <c r="B1682" s="4" t="s">
        <v>49</v>
      </c>
      <c r="C1682" s="4" t="s">
        <v>12</v>
      </c>
      <c r="D1682" s="4">
        <v>25855662</v>
      </c>
      <c r="E1682" s="4">
        <v>17</v>
      </c>
      <c r="F1682" s="4" t="s">
        <v>1433</v>
      </c>
      <c r="G1682" s="4">
        <v>17</v>
      </c>
      <c r="H1682" s="4">
        <v>0</v>
      </c>
      <c r="I1682" s="4">
        <v>0</v>
      </c>
      <c r="J1682" s="4"/>
      <c r="K1682" s="4"/>
      <c r="L1682" s="4"/>
      <c r="M1682" s="4"/>
      <c r="N1682" s="4"/>
      <c r="O1682" s="4"/>
    </row>
    <row r="1683" spans="1:15" x14ac:dyDescent="0.3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</row>
    <row r="1684" spans="1:15" x14ac:dyDescent="0.3">
      <c r="A1684" s="4" t="s">
        <v>886</v>
      </c>
      <c r="B1684" s="4" t="s">
        <v>49</v>
      </c>
      <c r="C1684" s="4" t="s">
        <v>12</v>
      </c>
      <c r="D1684" s="4">
        <v>25855710</v>
      </c>
      <c r="E1684" s="4">
        <v>22</v>
      </c>
      <c r="F1684" s="4" t="s">
        <v>1433</v>
      </c>
      <c r="G1684" s="4">
        <v>22</v>
      </c>
      <c r="H1684" s="4">
        <v>0</v>
      </c>
      <c r="I1684" s="4">
        <v>0</v>
      </c>
      <c r="J1684" s="4"/>
      <c r="K1684" s="4"/>
      <c r="L1684" s="4"/>
      <c r="M1684" s="4"/>
      <c r="N1684" s="4"/>
      <c r="O1684" s="4"/>
    </row>
    <row r="1685" spans="1:15" x14ac:dyDescent="0.3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</row>
    <row r="1686" spans="1:15" x14ac:dyDescent="0.3">
      <c r="A1686" s="4" t="s">
        <v>887</v>
      </c>
      <c r="B1686" s="4" t="s">
        <v>49</v>
      </c>
      <c r="C1686" s="4" t="s">
        <v>12</v>
      </c>
      <c r="D1686" s="4">
        <v>25855806</v>
      </c>
      <c r="E1686" s="4">
        <v>27</v>
      </c>
      <c r="F1686" s="4" t="s">
        <v>1433</v>
      </c>
      <c r="G1686" s="4">
        <v>27</v>
      </c>
      <c r="H1686" s="4">
        <v>0</v>
      </c>
      <c r="I1686" s="4">
        <v>0</v>
      </c>
      <c r="J1686" s="4"/>
      <c r="K1686" s="4"/>
      <c r="L1686" s="4"/>
      <c r="M1686" s="4"/>
      <c r="N1686" s="4"/>
      <c r="O1686" s="4"/>
    </row>
    <row r="1687" spans="1:15" x14ac:dyDescent="0.3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</row>
    <row r="1688" spans="1:15" x14ac:dyDescent="0.3">
      <c r="A1688" s="4" t="s">
        <v>888</v>
      </c>
      <c r="B1688" s="4" t="s">
        <v>49</v>
      </c>
      <c r="C1688" s="4" t="s">
        <v>12</v>
      </c>
      <c r="D1688" s="4">
        <v>25855854</v>
      </c>
      <c r="E1688" s="4">
        <v>23</v>
      </c>
      <c r="F1688" s="4" t="s">
        <v>1433</v>
      </c>
      <c r="G1688" s="4">
        <v>23</v>
      </c>
      <c r="H1688" s="4">
        <v>0</v>
      </c>
      <c r="I1688" s="4">
        <v>0</v>
      </c>
      <c r="J1688" s="4"/>
      <c r="K1688" s="4"/>
      <c r="L1688" s="4"/>
      <c r="M1688" s="4"/>
      <c r="N1688" s="4"/>
      <c r="O1688" s="4"/>
    </row>
    <row r="1689" spans="1:15" x14ac:dyDescent="0.3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</row>
    <row r="1690" spans="1:15" x14ac:dyDescent="0.3">
      <c r="A1690" s="4" t="s">
        <v>889</v>
      </c>
      <c r="B1690" s="4" t="s">
        <v>49</v>
      </c>
      <c r="C1690" s="4" t="s">
        <v>12</v>
      </c>
      <c r="D1690" s="4">
        <v>25855914</v>
      </c>
      <c r="E1690" s="4">
        <v>104</v>
      </c>
      <c r="F1690" s="4" t="s">
        <v>1433</v>
      </c>
      <c r="G1690" s="4">
        <v>104</v>
      </c>
      <c r="H1690" s="4">
        <v>0</v>
      </c>
      <c r="I1690" s="4">
        <v>0</v>
      </c>
      <c r="J1690" s="4"/>
      <c r="K1690" s="4"/>
      <c r="L1690" s="4"/>
      <c r="M1690" s="4"/>
      <c r="N1690" s="4"/>
      <c r="O1690" s="4"/>
    </row>
    <row r="1691" spans="1:15" x14ac:dyDescent="0.3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</row>
    <row r="1692" spans="1:15" x14ac:dyDescent="0.3">
      <c r="A1692" s="4" t="s">
        <v>890</v>
      </c>
      <c r="B1692" s="4" t="s">
        <v>49</v>
      </c>
      <c r="C1692" s="4" t="s">
        <v>12</v>
      </c>
      <c r="D1692" s="4">
        <v>25856058</v>
      </c>
      <c r="E1692" s="4">
        <v>12</v>
      </c>
      <c r="F1692" s="4" t="s">
        <v>1433</v>
      </c>
      <c r="G1692" s="4">
        <v>12</v>
      </c>
      <c r="H1692" s="4">
        <v>0</v>
      </c>
      <c r="I1692" s="4">
        <v>0</v>
      </c>
      <c r="J1692" s="4"/>
      <c r="K1692" s="4"/>
      <c r="L1692" s="4"/>
      <c r="M1692" s="4"/>
      <c r="N1692" s="4"/>
      <c r="O1692" s="4"/>
    </row>
    <row r="1693" spans="1:15" x14ac:dyDescent="0.3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</row>
    <row r="1694" spans="1:15" x14ac:dyDescent="0.3">
      <c r="A1694" s="4" t="s">
        <v>891</v>
      </c>
      <c r="B1694" s="4" t="s">
        <v>49</v>
      </c>
      <c r="C1694" s="4" t="s">
        <v>12</v>
      </c>
      <c r="D1694" s="4">
        <v>25856148</v>
      </c>
      <c r="E1694" s="4">
        <v>12</v>
      </c>
      <c r="F1694" s="4" t="s">
        <v>1433</v>
      </c>
      <c r="G1694" s="4">
        <v>12</v>
      </c>
      <c r="H1694" s="4">
        <v>0</v>
      </c>
      <c r="I1694" s="4">
        <v>0</v>
      </c>
      <c r="J1694" s="4"/>
      <c r="K1694" s="4"/>
      <c r="L1694" s="4"/>
      <c r="M1694" s="4"/>
      <c r="N1694" s="4"/>
      <c r="O1694" s="4"/>
    </row>
    <row r="1695" spans="1:15" x14ac:dyDescent="0.3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</row>
    <row r="1696" spans="1:15" x14ac:dyDescent="0.3">
      <c r="A1696" s="4" t="s">
        <v>892</v>
      </c>
      <c r="B1696" s="4" t="s">
        <v>49</v>
      </c>
      <c r="C1696" s="4" t="s">
        <v>12</v>
      </c>
      <c r="D1696" s="4">
        <v>25856154</v>
      </c>
      <c r="E1696" s="4">
        <v>16</v>
      </c>
      <c r="F1696" s="4" t="s">
        <v>1433</v>
      </c>
      <c r="G1696" s="4">
        <v>16</v>
      </c>
      <c r="H1696" s="4">
        <v>0</v>
      </c>
      <c r="I1696" s="4">
        <v>0</v>
      </c>
      <c r="J1696" s="4"/>
      <c r="K1696" s="4"/>
      <c r="L1696" s="4"/>
      <c r="M1696" s="4"/>
      <c r="N1696" s="4"/>
      <c r="O1696" s="4"/>
    </row>
    <row r="1697" spans="1:15" x14ac:dyDescent="0.3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</row>
    <row r="1698" spans="1:15" x14ac:dyDescent="0.3">
      <c r="A1698" s="4" t="s">
        <v>893</v>
      </c>
      <c r="B1698" s="4" t="s">
        <v>49</v>
      </c>
      <c r="C1698" s="4" t="s">
        <v>12</v>
      </c>
      <c r="D1698" s="4">
        <v>25856304</v>
      </c>
      <c r="E1698" s="4">
        <v>103</v>
      </c>
      <c r="F1698" s="4" t="s">
        <v>1433</v>
      </c>
      <c r="G1698" s="4">
        <v>103</v>
      </c>
      <c r="H1698" s="4">
        <v>0</v>
      </c>
      <c r="I1698" s="4">
        <v>0</v>
      </c>
      <c r="J1698" s="4"/>
      <c r="K1698" s="4"/>
      <c r="L1698" s="4"/>
      <c r="M1698" s="4"/>
      <c r="N1698" s="4"/>
      <c r="O1698" s="4"/>
    </row>
    <row r="1699" spans="1:15" x14ac:dyDescent="0.3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</row>
    <row r="1700" spans="1:15" x14ac:dyDescent="0.3">
      <c r="A1700" s="4" t="s">
        <v>894</v>
      </c>
      <c r="B1700" s="4" t="s">
        <v>49</v>
      </c>
      <c r="C1700" s="4" t="s">
        <v>12</v>
      </c>
      <c r="D1700" s="4">
        <v>25856412</v>
      </c>
      <c r="E1700" s="4">
        <v>15</v>
      </c>
      <c r="F1700" s="4" t="s">
        <v>1433</v>
      </c>
      <c r="G1700" s="4">
        <v>15</v>
      </c>
      <c r="H1700" s="4">
        <v>0</v>
      </c>
      <c r="I1700" s="4">
        <v>0</v>
      </c>
      <c r="J1700" s="4"/>
      <c r="K1700" s="4"/>
      <c r="L1700" s="4"/>
      <c r="M1700" s="4"/>
      <c r="N1700" s="4"/>
      <c r="O1700" s="4"/>
    </row>
    <row r="1701" spans="1:15" x14ac:dyDescent="0.3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</row>
    <row r="1702" spans="1:15" x14ac:dyDescent="0.3">
      <c r="A1702" s="4" t="s">
        <v>895</v>
      </c>
      <c r="B1702" s="4" t="s">
        <v>49</v>
      </c>
      <c r="C1702" s="4" t="s">
        <v>12</v>
      </c>
      <c r="D1702" s="4">
        <v>25856580</v>
      </c>
      <c r="E1702" s="4">
        <v>24</v>
      </c>
      <c r="F1702" s="4" t="s">
        <v>1433</v>
      </c>
      <c r="G1702" s="4">
        <v>24</v>
      </c>
      <c r="H1702" s="4">
        <v>0</v>
      </c>
      <c r="I1702" s="4">
        <v>0</v>
      </c>
      <c r="J1702" s="4"/>
      <c r="K1702" s="4"/>
      <c r="L1702" s="4"/>
      <c r="M1702" s="4"/>
      <c r="N1702" s="4"/>
      <c r="O1702" s="4"/>
    </row>
    <row r="1703" spans="1:15" x14ac:dyDescent="0.3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</row>
    <row r="1704" spans="1:15" x14ac:dyDescent="0.3">
      <c r="A1704" s="4" t="s">
        <v>896</v>
      </c>
      <c r="B1704" s="4" t="s">
        <v>49</v>
      </c>
      <c r="C1704" s="4" t="s">
        <v>12</v>
      </c>
      <c r="D1704" s="4">
        <v>25856676</v>
      </c>
      <c r="E1704" s="4">
        <v>18</v>
      </c>
      <c r="F1704" s="4" t="s">
        <v>1433</v>
      </c>
      <c r="G1704" s="4">
        <v>18</v>
      </c>
      <c r="H1704" s="4">
        <v>0</v>
      </c>
      <c r="I1704" s="4">
        <v>0</v>
      </c>
      <c r="J1704" s="4"/>
      <c r="K1704" s="4"/>
      <c r="L1704" s="4"/>
      <c r="M1704" s="4"/>
      <c r="N1704" s="4"/>
      <c r="O1704" s="4"/>
    </row>
    <row r="1705" spans="1:15" x14ac:dyDescent="0.3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</row>
    <row r="1706" spans="1:15" x14ac:dyDescent="0.3">
      <c r="A1706" s="4" t="s">
        <v>897</v>
      </c>
      <c r="B1706" s="4" t="s">
        <v>49</v>
      </c>
      <c r="C1706" s="4" t="s">
        <v>12</v>
      </c>
      <c r="D1706" s="4">
        <v>25856694</v>
      </c>
      <c r="E1706" s="4">
        <v>32</v>
      </c>
      <c r="F1706" s="4" t="s">
        <v>1433</v>
      </c>
      <c r="G1706" s="4">
        <v>32</v>
      </c>
      <c r="H1706" s="4">
        <v>0</v>
      </c>
      <c r="I1706" s="4">
        <v>0</v>
      </c>
      <c r="J1706" s="4"/>
      <c r="K1706" s="4"/>
      <c r="L1706" s="4"/>
      <c r="M1706" s="4"/>
      <c r="N1706" s="4"/>
      <c r="O1706" s="4"/>
    </row>
    <row r="1707" spans="1:15" x14ac:dyDescent="0.3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</row>
    <row r="1708" spans="1:15" x14ac:dyDescent="0.3">
      <c r="A1708" s="4" t="s">
        <v>898</v>
      </c>
      <c r="B1708" s="4" t="s">
        <v>49</v>
      </c>
      <c r="C1708" s="4" t="s">
        <v>12</v>
      </c>
      <c r="D1708" s="4">
        <v>25856772</v>
      </c>
      <c r="E1708" s="4">
        <v>18</v>
      </c>
      <c r="F1708" s="4" t="s">
        <v>1433</v>
      </c>
      <c r="G1708" s="4">
        <v>18</v>
      </c>
      <c r="H1708" s="4">
        <v>0</v>
      </c>
      <c r="I1708" s="4">
        <v>0</v>
      </c>
      <c r="J1708" s="4"/>
      <c r="K1708" s="4"/>
      <c r="L1708" s="4"/>
      <c r="M1708" s="4"/>
      <c r="N1708" s="4"/>
      <c r="O1708" s="4"/>
    </row>
    <row r="1709" spans="1:15" x14ac:dyDescent="0.3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</row>
    <row r="1710" spans="1:15" x14ac:dyDescent="0.3">
      <c r="A1710" s="4" t="s">
        <v>899</v>
      </c>
      <c r="B1710" s="4" t="s">
        <v>49</v>
      </c>
      <c r="C1710" s="4" t="s">
        <v>12</v>
      </c>
      <c r="D1710" s="4">
        <v>25857258</v>
      </c>
      <c r="E1710" s="4">
        <v>15</v>
      </c>
      <c r="F1710" s="4" t="s">
        <v>1433</v>
      </c>
      <c r="G1710" s="4">
        <v>15</v>
      </c>
      <c r="H1710" s="4">
        <v>0</v>
      </c>
      <c r="I1710" s="4">
        <v>0</v>
      </c>
      <c r="J1710" s="4"/>
      <c r="K1710" s="4"/>
      <c r="L1710" s="4"/>
      <c r="M1710" s="4"/>
      <c r="N1710" s="4"/>
      <c r="O1710" s="4"/>
    </row>
    <row r="1711" spans="1:15" x14ac:dyDescent="0.3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</row>
    <row r="1712" spans="1:15" x14ac:dyDescent="0.3">
      <c r="A1712" s="4" t="s">
        <v>900</v>
      </c>
      <c r="B1712" s="4" t="s">
        <v>49</v>
      </c>
      <c r="C1712" s="4" t="s">
        <v>12</v>
      </c>
      <c r="D1712" s="4">
        <v>25857552</v>
      </c>
      <c r="E1712" s="4">
        <v>18</v>
      </c>
      <c r="F1712" s="4" t="s">
        <v>1433</v>
      </c>
      <c r="G1712" s="4">
        <v>18</v>
      </c>
      <c r="H1712" s="4">
        <v>0</v>
      </c>
      <c r="I1712" s="4">
        <v>0</v>
      </c>
      <c r="J1712" s="4"/>
      <c r="K1712" s="4"/>
      <c r="L1712" s="4"/>
      <c r="M1712" s="4"/>
      <c r="N1712" s="4"/>
      <c r="O1712" s="4"/>
    </row>
    <row r="1713" spans="1:15" x14ac:dyDescent="0.3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</row>
    <row r="1714" spans="1:15" x14ac:dyDescent="0.3">
      <c r="A1714" s="4" t="s">
        <v>901</v>
      </c>
      <c r="B1714" s="4" t="s">
        <v>49</v>
      </c>
      <c r="C1714" s="4" t="s">
        <v>12</v>
      </c>
      <c r="D1714" s="4">
        <v>25857720</v>
      </c>
      <c r="E1714" s="4">
        <v>75</v>
      </c>
      <c r="F1714" s="4" t="s">
        <v>1433</v>
      </c>
      <c r="G1714" s="4">
        <v>75</v>
      </c>
      <c r="H1714" s="4">
        <v>0</v>
      </c>
      <c r="I1714" s="4">
        <v>0</v>
      </c>
      <c r="J1714" s="4"/>
      <c r="K1714" s="4"/>
      <c r="L1714" s="4"/>
      <c r="M1714" s="4"/>
      <c r="N1714" s="4"/>
      <c r="O1714" s="4"/>
    </row>
    <row r="1715" spans="1:15" x14ac:dyDescent="0.3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</row>
    <row r="1716" spans="1:15" x14ac:dyDescent="0.3">
      <c r="A1716" s="4" t="s">
        <v>902</v>
      </c>
      <c r="B1716" s="4" t="s">
        <v>49</v>
      </c>
      <c r="C1716" s="4" t="s">
        <v>12</v>
      </c>
      <c r="D1716" s="4">
        <v>25858038</v>
      </c>
      <c r="E1716" s="4">
        <v>12</v>
      </c>
      <c r="F1716" s="4" t="s">
        <v>1433</v>
      </c>
      <c r="G1716" s="4">
        <v>12</v>
      </c>
      <c r="H1716" s="4">
        <v>0</v>
      </c>
      <c r="I1716" s="4">
        <v>0</v>
      </c>
      <c r="J1716" s="4"/>
      <c r="K1716" s="4"/>
      <c r="L1716" s="4"/>
      <c r="M1716" s="4"/>
      <c r="N1716" s="4"/>
      <c r="O1716" s="4"/>
    </row>
    <row r="1717" spans="1:15" x14ac:dyDescent="0.3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</row>
    <row r="1718" spans="1:15" x14ac:dyDescent="0.3">
      <c r="A1718" s="4" t="s">
        <v>903</v>
      </c>
      <c r="B1718" s="4" t="s">
        <v>49</v>
      </c>
      <c r="C1718" s="4" t="s">
        <v>12</v>
      </c>
      <c r="D1718" s="4">
        <v>25858068</v>
      </c>
      <c r="E1718" s="4">
        <v>35</v>
      </c>
      <c r="F1718" s="4" t="s">
        <v>1433</v>
      </c>
      <c r="G1718" s="4">
        <v>35</v>
      </c>
      <c r="H1718" s="4">
        <v>0</v>
      </c>
      <c r="I1718" s="4">
        <v>0</v>
      </c>
      <c r="J1718" s="4"/>
      <c r="K1718" s="4"/>
      <c r="L1718" s="4"/>
      <c r="M1718" s="4"/>
      <c r="N1718" s="4"/>
      <c r="O1718" s="4"/>
    </row>
    <row r="1719" spans="1:15" x14ac:dyDescent="0.3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</row>
    <row r="1720" spans="1:15" x14ac:dyDescent="0.3">
      <c r="A1720" s="4" t="s">
        <v>904</v>
      </c>
      <c r="B1720" s="4" t="s">
        <v>49</v>
      </c>
      <c r="C1720" s="4" t="s">
        <v>12</v>
      </c>
      <c r="D1720" s="4">
        <v>25858116</v>
      </c>
      <c r="E1720" s="4">
        <v>12</v>
      </c>
      <c r="F1720" s="4" t="s">
        <v>1433</v>
      </c>
      <c r="G1720" s="4">
        <v>12</v>
      </c>
      <c r="H1720" s="4">
        <v>0</v>
      </c>
      <c r="I1720" s="4">
        <v>0</v>
      </c>
      <c r="J1720" s="4"/>
      <c r="K1720" s="4"/>
      <c r="L1720" s="4"/>
      <c r="M1720" s="4"/>
      <c r="N1720" s="4"/>
      <c r="O1720" s="4"/>
    </row>
    <row r="1721" spans="1:15" x14ac:dyDescent="0.3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</row>
    <row r="1722" spans="1:15" x14ac:dyDescent="0.3">
      <c r="A1722" s="4" t="s">
        <v>905</v>
      </c>
      <c r="B1722" s="4" t="s">
        <v>49</v>
      </c>
      <c r="C1722" s="4" t="s">
        <v>12</v>
      </c>
      <c r="D1722" s="4">
        <v>25858218</v>
      </c>
      <c r="E1722" s="4">
        <v>9</v>
      </c>
      <c r="F1722" s="4" t="s">
        <v>1433</v>
      </c>
      <c r="G1722" s="4">
        <v>9</v>
      </c>
      <c r="H1722" s="4">
        <v>0</v>
      </c>
      <c r="I1722" s="4">
        <v>0</v>
      </c>
      <c r="J1722" s="4"/>
      <c r="K1722" s="4"/>
      <c r="L1722" s="4"/>
      <c r="M1722" s="4"/>
      <c r="N1722" s="4"/>
      <c r="O1722" s="4"/>
    </row>
    <row r="1723" spans="1:15" x14ac:dyDescent="0.3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</row>
    <row r="1724" spans="1:15" x14ac:dyDescent="0.3">
      <c r="A1724" s="4" t="s">
        <v>906</v>
      </c>
      <c r="B1724" s="4" t="s">
        <v>49</v>
      </c>
      <c r="C1724" s="4" t="s">
        <v>12</v>
      </c>
      <c r="D1724" s="4">
        <v>25858224</v>
      </c>
      <c r="E1724" s="4">
        <v>35</v>
      </c>
      <c r="F1724" s="4" t="s">
        <v>1433</v>
      </c>
      <c r="G1724" s="4">
        <v>35</v>
      </c>
      <c r="H1724" s="4">
        <v>0</v>
      </c>
      <c r="I1724" s="4">
        <v>0</v>
      </c>
      <c r="J1724" s="4"/>
      <c r="K1724" s="4"/>
      <c r="L1724" s="4"/>
      <c r="M1724" s="4"/>
      <c r="N1724" s="4"/>
      <c r="O1724" s="4"/>
    </row>
    <row r="1725" spans="1:15" x14ac:dyDescent="0.3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</row>
    <row r="1726" spans="1:15" x14ac:dyDescent="0.3">
      <c r="A1726" s="4" t="s">
        <v>907</v>
      </c>
      <c r="B1726" s="4" t="s">
        <v>49</v>
      </c>
      <c r="C1726" s="4" t="s">
        <v>12</v>
      </c>
      <c r="D1726" s="4">
        <v>25858236</v>
      </c>
      <c r="E1726" s="4">
        <v>21</v>
      </c>
      <c r="F1726" s="4" t="s">
        <v>1433</v>
      </c>
      <c r="G1726" s="4">
        <v>21</v>
      </c>
      <c r="H1726" s="4">
        <v>0</v>
      </c>
      <c r="I1726" s="4">
        <v>0</v>
      </c>
      <c r="J1726" s="4"/>
      <c r="K1726" s="4"/>
      <c r="L1726" s="4"/>
      <c r="M1726" s="4"/>
      <c r="N1726" s="4"/>
      <c r="O1726" s="4"/>
    </row>
    <row r="1727" spans="1:15" x14ac:dyDescent="0.3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</row>
    <row r="1728" spans="1:15" x14ac:dyDescent="0.3">
      <c r="A1728" s="4" t="s">
        <v>908</v>
      </c>
      <c r="B1728" s="4" t="s">
        <v>49</v>
      </c>
      <c r="C1728" s="4" t="s">
        <v>12</v>
      </c>
      <c r="D1728" s="4">
        <v>25858260</v>
      </c>
      <c r="E1728" s="4">
        <v>25</v>
      </c>
      <c r="F1728" s="4" t="s">
        <v>1433</v>
      </c>
      <c r="G1728" s="4">
        <v>25</v>
      </c>
      <c r="H1728" s="4">
        <v>0</v>
      </c>
      <c r="I1728" s="4">
        <v>0</v>
      </c>
      <c r="J1728" s="4"/>
      <c r="K1728" s="4"/>
      <c r="L1728" s="4"/>
      <c r="M1728" s="4"/>
      <c r="N1728" s="4"/>
      <c r="O1728" s="4"/>
    </row>
    <row r="1729" spans="1:15" x14ac:dyDescent="0.3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</row>
    <row r="1730" spans="1:15" x14ac:dyDescent="0.3">
      <c r="A1730" s="4" t="s">
        <v>909</v>
      </c>
      <c r="B1730" s="4" t="s">
        <v>49</v>
      </c>
      <c r="C1730" s="4" t="s">
        <v>12</v>
      </c>
      <c r="D1730" s="4">
        <v>25858536</v>
      </c>
      <c r="E1730" s="4">
        <v>28</v>
      </c>
      <c r="F1730" s="4" t="s">
        <v>1433</v>
      </c>
      <c r="G1730" s="4">
        <v>28</v>
      </c>
      <c r="H1730" s="4">
        <v>0</v>
      </c>
      <c r="I1730" s="4">
        <v>0</v>
      </c>
      <c r="J1730" s="4"/>
      <c r="K1730" s="4"/>
      <c r="L1730" s="4"/>
      <c r="M1730" s="4"/>
      <c r="N1730" s="4"/>
      <c r="O1730" s="4"/>
    </row>
    <row r="1731" spans="1:15" x14ac:dyDescent="0.3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</row>
    <row r="1732" spans="1:15" x14ac:dyDescent="0.3">
      <c r="A1732" s="4" t="s">
        <v>910</v>
      </c>
      <c r="B1732" s="4" t="s">
        <v>49</v>
      </c>
      <c r="C1732" s="4" t="s">
        <v>12</v>
      </c>
      <c r="D1732" s="4">
        <v>25858614</v>
      </c>
      <c r="E1732" s="4">
        <v>15</v>
      </c>
      <c r="F1732" s="4" t="s">
        <v>1433</v>
      </c>
      <c r="G1732" s="4">
        <v>15</v>
      </c>
      <c r="H1732" s="4">
        <v>0</v>
      </c>
      <c r="I1732" s="4">
        <v>0</v>
      </c>
      <c r="J1732" s="4"/>
      <c r="K1732" s="4"/>
      <c r="L1732" s="4"/>
      <c r="M1732" s="4"/>
      <c r="N1732" s="4"/>
      <c r="O1732" s="4"/>
    </row>
    <row r="1733" spans="1:15" x14ac:dyDescent="0.3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</row>
    <row r="1734" spans="1:15" x14ac:dyDescent="0.3">
      <c r="A1734" s="4" t="s">
        <v>911</v>
      </c>
      <c r="B1734" s="4" t="s">
        <v>49</v>
      </c>
      <c r="C1734" s="4" t="s">
        <v>12</v>
      </c>
      <c r="D1734" s="4">
        <v>25858800</v>
      </c>
      <c r="E1734" s="4">
        <v>69</v>
      </c>
      <c r="F1734" s="4" t="s">
        <v>1433</v>
      </c>
      <c r="G1734" s="4">
        <v>69</v>
      </c>
      <c r="H1734" s="4">
        <v>0</v>
      </c>
      <c r="I1734" s="4">
        <v>0</v>
      </c>
      <c r="J1734" s="4"/>
      <c r="K1734" s="4"/>
      <c r="L1734" s="4"/>
      <c r="M1734" s="4"/>
      <c r="N1734" s="4"/>
      <c r="O1734" s="4"/>
    </row>
    <row r="1735" spans="1:15" x14ac:dyDescent="0.3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</row>
    <row r="1736" spans="1:15" x14ac:dyDescent="0.3">
      <c r="A1736" s="4" t="s">
        <v>912</v>
      </c>
      <c r="B1736" s="4" t="s">
        <v>49</v>
      </c>
      <c r="C1736" s="4" t="s">
        <v>12</v>
      </c>
      <c r="D1736" s="4">
        <v>25858836</v>
      </c>
      <c r="E1736" s="4">
        <v>62</v>
      </c>
      <c r="F1736" s="4" t="s">
        <v>1433</v>
      </c>
      <c r="G1736" s="4">
        <v>62</v>
      </c>
      <c r="H1736" s="4">
        <v>0</v>
      </c>
      <c r="I1736" s="4">
        <v>0</v>
      </c>
      <c r="J1736" s="4"/>
      <c r="K1736" s="4"/>
      <c r="L1736" s="4"/>
      <c r="M1736" s="4"/>
      <c r="N1736" s="4"/>
      <c r="O1736" s="4"/>
    </row>
    <row r="1737" spans="1:15" x14ac:dyDescent="0.3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</row>
    <row r="1738" spans="1:15" x14ac:dyDescent="0.3">
      <c r="A1738" s="4" t="s">
        <v>913</v>
      </c>
      <c r="B1738" s="4" t="s">
        <v>49</v>
      </c>
      <c r="C1738" s="4" t="s">
        <v>12</v>
      </c>
      <c r="D1738" s="4">
        <v>25858884</v>
      </c>
      <c r="E1738" s="4">
        <v>12</v>
      </c>
      <c r="F1738" s="4" t="s">
        <v>1433</v>
      </c>
      <c r="G1738" s="4">
        <v>12</v>
      </c>
      <c r="H1738" s="4">
        <v>0</v>
      </c>
      <c r="I1738" s="4">
        <v>0</v>
      </c>
      <c r="J1738" s="4"/>
      <c r="K1738" s="4"/>
      <c r="L1738" s="4"/>
      <c r="M1738" s="4"/>
      <c r="N1738" s="4"/>
      <c r="O1738" s="4"/>
    </row>
    <row r="1739" spans="1:15" x14ac:dyDescent="0.3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</row>
    <row r="1740" spans="1:15" x14ac:dyDescent="0.3">
      <c r="A1740" s="4" t="s">
        <v>914</v>
      </c>
      <c r="B1740" s="4" t="s">
        <v>49</v>
      </c>
      <c r="C1740" s="4" t="s">
        <v>12</v>
      </c>
      <c r="D1740" s="4">
        <v>25859058</v>
      </c>
      <c r="E1740" s="4">
        <v>15</v>
      </c>
      <c r="F1740" s="4" t="s">
        <v>1433</v>
      </c>
      <c r="G1740" s="4">
        <v>15</v>
      </c>
      <c r="H1740" s="4">
        <v>0</v>
      </c>
      <c r="I1740" s="4">
        <v>0</v>
      </c>
      <c r="J1740" s="4"/>
      <c r="K1740" s="4"/>
      <c r="L1740" s="4"/>
      <c r="M1740" s="4"/>
      <c r="N1740" s="4"/>
      <c r="O1740" s="4"/>
    </row>
    <row r="1741" spans="1:15" x14ac:dyDescent="0.3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</row>
    <row r="1742" spans="1:15" x14ac:dyDescent="0.3">
      <c r="A1742" s="4" t="s">
        <v>915</v>
      </c>
      <c r="B1742" s="4" t="s">
        <v>49</v>
      </c>
      <c r="C1742" s="4" t="s">
        <v>12</v>
      </c>
      <c r="D1742" s="4">
        <v>25859094</v>
      </c>
      <c r="E1742" s="4">
        <v>15</v>
      </c>
      <c r="F1742" s="4" t="s">
        <v>1433</v>
      </c>
      <c r="G1742" s="4">
        <v>15</v>
      </c>
      <c r="H1742" s="4">
        <v>0</v>
      </c>
      <c r="I1742" s="4">
        <v>0</v>
      </c>
      <c r="J1742" s="4"/>
      <c r="K1742" s="4"/>
      <c r="L1742" s="4"/>
      <c r="M1742" s="4"/>
      <c r="N1742" s="4"/>
      <c r="O1742" s="4"/>
    </row>
    <row r="1743" spans="1:15" x14ac:dyDescent="0.3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</row>
    <row r="1744" spans="1:15" x14ac:dyDescent="0.3">
      <c r="A1744" s="4" t="s">
        <v>916</v>
      </c>
      <c r="B1744" s="4" t="s">
        <v>49</v>
      </c>
      <c r="C1744" s="4" t="s">
        <v>12</v>
      </c>
      <c r="D1744" s="4">
        <v>25859166</v>
      </c>
      <c r="E1744" s="4">
        <v>20</v>
      </c>
      <c r="F1744" s="4" t="s">
        <v>1433</v>
      </c>
      <c r="G1744" s="4">
        <v>20</v>
      </c>
      <c r="H1744" s="4">
        <v>0</v>
      </c>
      <c r="I1744" s="4">
        <v>0</v>
      </c>
      <c r="J1744" s="4"/>
      <c r="K1744" s="4"/>
      <c r="L1744" s="4"/>
      <c r="M1744" s="4"/>
      <c r="N1744" s="4"/>
      <c r="O1744" s="4"/>
    </row>
    <row r="1745" spans="1:15" x14ac:dyDescent="0.3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</row>
    <row r="1746" spans="1:15" x14ac:dyDescent="0.3">
      <c r="A1746" s="4" t="s">
        <v>917</v>
      </c>
      <c r="B1746" s="4" t="s">
        <v>49</v>
      </c>
      <c r="C1746" s="4" t="s">
        <v>12</v>
      </c>
      <c r="D1746" s="4">
        <v>25859274</v>
      </c>
      <c r="E1746" s="4">
        <v>31</v>
      </c>
      <c r="F1746" s="4" t="s">
        <v>1433</v>
      </c>
      <c r="G1746" s="4">
        <v>31</v>
      </c>
      <c r="H1746" s="4">
        <v>0</v>
      </c>
      <c r="I1746" s="4">
        <v>0</v>
      </c>
      <c r="J1746" s="4"/>
      <c r="K1746" s="4"/>
      <c r="L1746" s="4"/>
      <c r="M1746" s="4"/>
      <c r="N1746" s="4"/>
      <c r="O1746" s="4"/>
    </row>
    <row r="1747" spans="1:15" x14ac:dyDescent="0.3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</row>
    <row r="1748" spans="1:15" x14ac:dyDescent="0.3">
      <c r="A1748" s="4" t="s">
        <v>918</v>
      </c>
      <c r="B1748" s="4" t="s">
        <v>49</v>
      </c>
      <c r="C1748" s="4" t="s">
        <v>12</v>
      </c>
      <c r="D1748" s="4">
        <v>25859532</v>
      </c>
      <c r="E1748" s="4">
        <v>21</v>
      </c>
      <c r="F1748" s="4" t="s">
        <v>1433</v>
      </c>
      <c r="G1748" s="4">
        <v>21</v>
      </c>
      <c r="H1748" s="4">
        <v>0</v>
      </c>
      <c r="I1748" s="4">
        <v>0</v>
      </c>
      <c r="J1748" s="4"/>
      <c r="K1748" s="4"/>
      <c r="L1748" s="4"/>
      <c r="M1748" s="4"/>
      <c r="N1748" s="4"/>
      <c r="O1748" s="4"/>
    </row>
    <row r="1749" spans="1:15" x14ac:dyDescent="0.3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</row>
    <row r="1750" spans="1:15" x14ac:dyDescent="0.3">
      <c r="A1750" s="4" t="s">
        <v>919</v>
      </c>
      <c r="B1750" s="4" t="s">
        <v>49</v>
      </c>
      <c r="C1750" s="4" t="s">
        <v>12</v>
      </c>
      <c r="D1750" s="4">
        <v>25859538</v>
      </c>
      <c r="E1750" s="4">
        <v>29</v>
      </c>
      <c r="F1750" s="4" t="s">
        <v>1433</v>
      </c>
      <c r="G1750" s="4">
        <v>29</v>
      </c>
      <c r="H1750" s="4">
        <v>0</v>
      </c>
      <c r="I1750" s="4">
        <v>0</v>
      </c>
      <c r="J1750" s="4"/>
      <c r="K1750" s="4"/>
      <c r="L1750" s="4"/>
      <c r="M1750" s="4"/>
      <c r="N1750" s="4"/>
      <c r="O1750" s="4"/>
    </row>
    <row r="1751" spans="1:15" x14ac:dyDescent="0.3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</row>
    <row r="1752" spans="1:15" x14ac:dyDescent="0.3">
      <c r="A1752" s="4" t="s">
        <v>920</v>
      </c>
      <c r="B1752" s="4" t="s">
        <v>49</v>
      </c>
      <c r="C1752" s="4" t="s">
        <v>12</v>
      </c>
      <c r="D1752" s="4">
        <v>25859568</v>
      </c>
      <c r="E1752" s="4">
        <v>13</v>
      </c>
      <c r="F1752" s="4" t="s">
        <v>1433</v>
      </c>
      <c r="G1752" s="4">
        <v>13</v>
      </c>
      <c r="H1752" s="4">
        <v>0</v>
      </c>
      <c r="I1752" s="4">
        <v>0</v>
      </c>
      <c r="J1752" s="4"/>
      <c r="K1752" s="4"/>
      <c r="L1752" s="4"/>
      <c r="M1752" s="4"/>
      <c r="N1752" s="4"/>
      <c r="O1752" s="4"/>
    </row>
    <row r="1753" spans="1:15" x14ac:dyDescent="0.3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</row>
    <row r="1754" spans="1:15" x14ac:dyDescent="0.3">
      <c r="A1754" s="4" t="s">
        <v>921</v>
      </c>
      <c r="B1754" s="4" t="s">
        <v>49</v>
      </c>
      <c r="C1754" s="4" t="s">
        <v>12</v>
      </c>
      <c r="D1754" s="4">
        <v>25859610</v>
      </c>
      <c r="E1754" s="4">
        <v>18</v>
      </c>
      <c r="F1754" s="4" t="s">
        <v>1433</v>
      </c>
      <c r="G1754" s="4">
        <v>18</v>
      </c>
      <c r="H1754" s="4">
        <v>0</v>
      </c>
      <c r="I1754" s="4">
        <v>0</v>
      </c>
      <c r="J1754" s="4"/>
      <c r="K1754" s="4"/>
      <c r="L1754" s="4"/>
      <c r="M1754" s="4"/>
      <c r="N1754" s="4"/>
      <c r="O1754" s="4"/>
    </row>
    <row r="1755" spans="1:15" x14ac:dyDescent="0.3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</row>
    <row r="1756" spans="1:15" x14ac:dyDescent="0.3">
      <c r="A1756" s="4" t="s">
        <v>922</v>
      </c>
      <c r="B1756" s="4" t="s">
        <v>49</v>
      </c>
      <c r="C1756" s="4" t="s">
        <v>12</v>
      </c>
      <c r="D1756" s="4">
        <v>25860096</v>
      </c>
      <c r="E1756" s="4">
        <v>55</v>
      </c>
      <c r="F1756" s="4" t="s">
        <v>1433</v>
      </c>
      <c r="G1756" s="4">
        <v>55</v>
      </c>
      <c r="H1756" s="4">
        <v>0</v>
      </c>
      <c r="I1756" s="4">
        <v>0</v>
      </c>
      <c r="J1756" s="4"/>
      <c r="K1756" s="4"/>
      <c r="L1756" s="4"/>
      <c r="M1756" s="4"/>
      <c r="N1756" s="4"/>
      <c r="O1756" s="4"/>
    </row>
    <row r="1757" spans="1:15" x14ac:dyDescent="0.3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</row>
    <row r="1758" spans="1:15" x14ac:dyDescent="0.3">
      <c r="A1758" s="4" t="s">
        <v>923</v>
      </c>
      <c r="B1758" s="4" t="s">
        <v>49</v>
      </c>
      <c r="C1758" s="4" t="s">
        <v>12</v>
      </c>
      <c r="D1758" s="4">
        <v>25860180</v>
      </c>
      <c r="E1758" s="4">
        <v>20</v>
      </c>
      <c r="F1758" s="4" t="s">
        <v>1433</v>
      </c>
      <c r="G1758" s="4">
        <v>20</v>
      </c>
      <c r="H1758" s="4">
        <v>0</v>
      </c>
      <c r="I1758" s="4">
        <v>0</v>
      </c>
      <c r="J1758" s="4"/>
      <c r="K1758" s="4"/>
      <c r="L1758" s="4"/>
      <c r="M1758" s="4"/>
      <c r="N1758" s="4"/>
      <c r="O1758" s="4"/>
    </row>
    <row r="1759" spans="1:15" x14ac:dyDescent="0.3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</row>
    <row r="1760" spans="1:15" x14ac:dyDescent="0.3">
      <c r="A1760" s="4" t="s">
        <v>924</v>
      </c>
      <c r="B1760" s="4" t="s">
        <v>49</v>
      </c>
      <c r="C1760" s="4" t="s">
        <v>12</v>
      </c>
      <c r="D1760" s="4">
        <v>25860630</v>
      </c>
      <c r="E1760" s="4">
        <v>15</v>
      </c>
      <c r="F1760" s="4" t="s">
        <v>1433</v>
      </c>
      <c r="G1760" s="4">
        <v>15</v>
      </c>
      <c r="H1760" s="4">
        <v>0</v>
      </c>
      <c r="I1760" s="4">
        <v>0</v>
      </c>
      <c r="J1760" s="4"/>
      <c r="K1760" s="4"/>
      <c r="L1760" s="4"/>
      <c r="M1760" s="4"/>
      <c r="N1760" s="4"/>
      <c r="O1760" s="4"/>
    </row>
    <row r="1761" spans="1:15" x14ac:dyDescent="0.3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</row>
    <row r="1762" spans="1:15" x14ac:dyDescent="0.3">
      <c r="A1762" s="4" t="s">
        <v>925</v>
      </c>
      <c r="B1762" s="4" t="s">
        <v>49</v>
      </c>
      <c r="C1762" s="4" t="s">
        <v>12</v>
      </c>
      <c r="D1762" s="4">
        <v>25860642</v>
      </c>
      <c r="E1762" s="4">
        <v>42</v>
      </c>
      <c r="F1762" s="4" t="s">
        <v>1433</v>
      </c>
      <c r="G1762" s="4">
        <v>42</v>
      </c>
      <c r="H1762" s="4">
        <v>0</v>
      </c>
      <c r="I1762" s="4">
        <v>0</v>
      </c>
      <c r="J1762" s="4"/>
      <c r="K1762" s="4"/>
      <c r="L1762" s="4"/>
      <c r="M1762" s="4"/>
      <c r="N1762" s="4"/>
      <c r="O1762" s="4"/>
    </row>
    <row r="1763" spans="1:15" x14ac:dyDescent="0.3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</row>
    <row r="1764" spans="1:15" x14ac:dyDescent="0.3">
      <c r="A1764" s="4" t="s">
        <v>926</v>
      </c>
      <c r="B1764" s="4" t="s">
        <v>49</v>
      </c>
      <c r="C1764" s="4" t="s">
        <v>12</v>
      </c>
      <c r="D1764" s="4">
        <v>25860804</v>
      </c>
      <c r="E1764" s="4">
        <v>23</v>
      </c>
      <c r="F1764" s="4" t="s">
        <v>1433</v>
      </c>
      <c r="G1764" s="4">
        <v>23</v>
      </c>
      <c r="H1764" s="4">
        <v>0</v>
      </c>
      <c r="I1764" s="4">
        <v>0</v>
      </c>
      <c r="J1764" s="4"/>
      <c r="K1764" s="4"/>
      <c r="L1764" s="4"/>
      <c r="M1764" s="4"/>
      <c r="N1764" s="4"/>
      <c r="O1764" s="4"/>
    </row>
    <row r="1765" spans="1:15" x14ac:dyDescent="0.3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</row>
    <row r="1766" spans="1:15" x14ac:dyDescent="0.3">
      <c r="A1766" s="4" t="s">
        <v>927</v>
      </c>
      <c r="B1766" s="4" t="s">
        <v>49</v>
      </c>
      <c r="C1766" s="4" t="s">
        <v>12</v>
      </c>
      <c r="D1766" s="4">
        <v>25860852</v>
      </c>
      <c r="E1766" s="4">
        <v>24</v>
      </c>
      <c r="F1766" s="4" t="s">
        <v>1433</v>
      </c>
      <c r="G1766" s="4">
        <v>24</v>
      </c>
      <c r="H1766" s="4">
        <v>0</v>
      </c>
      <c r="I1766" s="4">
        <v>0</v>
      </c>
      <c r="J1766" s="4"/>
      <c r="K1766" s="4"/>
      <c r="L1766" s="4"/>
      <c r="M1766" s="4"/>
      <c r="N1766" s="4"/>
      <c r="O1766" s="4"/>
    </row>
    <row r="1767" spans="1:15" x14ac:dyDescent="0.3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</row>
    <row r="1768" spans="1:15" x14ac:dyDescent="0.3">
      <c r="A1768" s="4" t="s">
        <v>928</v>
      </c>
      <c r="B1768" s="4" t="s">
        <v>49</v>
      </c>
      <c r="C1768" s="4" t="s">
        <v>12</v>
      </c>
      <c r="D1768" s="4">
        <v>25861032</v>
      </c>
      <c r="E1768" s="4">
        <v>14</v>
      </c>
      <c r="F1768" s="4" t="s">
        <v>1433</v>
      </c>
      <c r="G1768" s="4">
        <v>14</v>
      </c>
      <c r="H1768" s="4">
        <v>0</v>
      </c>
      <c r="I1768" s="4">
        <v>0</v>
      </c>
      <c r="J1768" s="4"/>
      <c r="K1768" s="4"/>
      <c r="L1768" s="4"/>
      <c r="M1768" s="4"/>
      <c r="N1768" s="4"/>
      <c r="O1768" s="4"/>
    </row>
    <row r="1769" spans="1:15" x14ac:dyDescent="0.3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</row>
    <row r="1770" spans="1:15" x14ac:dyDescent="0.3">
      <c r="A1770" s="4" t="s">
        <v>929</v>
      </c>
      <c r="B1770" s="4" t="s">
        <v>49</v>
      </c>
      <c r="C1770" s="4" t="s">
        <v>12</v>
      </c>
      <c r="D1770" s="4">
        <v>25861488</v>
      </c>
      <c r="E1770" s="4">
        <v>12</v>
      </c>
      <c r="F1770" s="4" t="s">
        <v>1433</v>
      </c>
      <c r="G1770" s="4">
        <v>12</v>
      </c>
      <c r="H1770" s="4">
        <v>0</v>
      </c>
      <c r="I1770" s="4">
        <v>0</v>
      </c>
      <c r="J1770" s="4"/>
      <c r="K1770" s="4"/>
      <c r="L1770" s="4"/>
      <c r="M1770" s="4"/>
      <c r="N1770" s="4"/>
      <c r="O1770" s="4"/>
    </row>
    <row r="1771" spans="1:15" x14ac:dyDescent="0.3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</row>
    <row r="1772" spans="1:15" x14ac:dyDescent="0.3">
      <c r="A1772" s="4" t="s">
        <v>930</v>
      </c>
      <c r="B1772" s="4" t="s">
        <v>49</v>
      </c>
      <c r="C1772" s="4" t="s">
        <v>12</v>
      </c>
      <c r="D1772" s="4">
        <v>25861698</v>
      </c>
      <c r="E1772" s="4">
        <v>31</v>
      </c>
      <c r="F1772" s="4" t="s">
        <v>1433</v>
      </c>
      <c r="G1772" s="4">
        <v>31</v>
      </c>
      <c r="H1772" s="4">
        <v>0</v>
      </c>
      <c r="I1772" s="4">
        <v>0</v>
      </c>
      <c r="J1772" s="4"/>
      <c r="K1772" s="4"/>
      <c r="L1772" s="4"/>
      <c r="M1772" s="4"/>
      <c r="N1772" s="4"/>
      <c r="O1772" s="4"/>
    </row>
    <row r="1773" spans="1:15" x14ac:dyDescent="0.3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</row>
    <row r="1774" spans="1:15" x14ac:dyDescent="0.3">
      <c r="A1774" s="4" t="s">
        <v>931</v>
      </c>
      <c r="B1774" s="4" t="s">
        <v>49</v>
      </c>
      <c r="C1774" s="4" t="s">
        <v>12</v>
      </c>
      <c r="D1774" s="4">
        <v>25861728</v>
      </c>
      <c r="E1774" s="4">
        <v>12</v>
      </c>
      <c r="F1774" s="4" t="s">
        <v>1433</v>
      </c>
      <c r="G1774" s="4">
        <v>12</v>
      </c>
      <c r="H1774" s="4">
        <v>0</v>
      </c>
      <c r="I1774" s="4">
        <v>0</v>
      </c>
      <c r="J1774" s="4"/>
      <c r="K1774" s="4"/>
      <c r="L1774" s="4"/>
      <c r="M1774" s="4"/>
      <c r="N1774" s="4"/>
      <c r="O1774" s="4"/>
    </row>
    <row r="1775" spans="1:15" x14ac:dyDescent="0.3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</row>
    <row r="1776" spans="1:15" x14ac:dyDescent="0.3">
      <c r="A1776" s="4" t="s">
        <v>932</v>
      </c>
      <c r="B1776" s="4" t="s">
        <v>49</v>
      </c>
      <c r="C1776" s="4" t="s">
        <v>12</v>
      </c>
      <c r="D1776" s="4">
        <v>25861806</v>
      </c>
      <c r="E1776" s="4">
        <v>11</v>
      </c>
      <c r="F1776" s="4" t="s">
        <v>1433</v>
      </c>
      <c r="G1776" s="4">
        <v>11</v>
      </c>
      <c r="H1776" s="4">
        <v>0</v>
      </c>
      <c r="I1776" s="4">
        <v>0</v>
      </c>
      <c r="J1776" s="4"/>
      <c r="K1776" s="4"/>
      <c r="L1776" s="4"/>
      <c r="M1776" s="4"/>
      <c r="N1776" s="4"/>
      <c r="O1776" s="4"/>
    </row>
    <row r="1777" spans="1:15" x14ac:dyDescent="0.3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</row>
    <row r="1778" spans="1:15" x14ac:dyDescent="0.3">
      <c r="A1778" s="4" t="s">
        <v>933</v>
      </c>
      <c r="B1778" s="4" t="s">
        <v>49</v>
      </c>
      <c r="C1778" s="4" t="s">
        <v>12</v>
      </c>
      <c r="D1778" s="4">
        <v>25862166</v>
      </c>
      <c r="E1778" s="4">
        <v>98</v>
      </c>
      <c r="F1778" s="4" t="s">
        <v>1433</v>
      </c>
      <c r="G1778" s="4">
        <v>98</v>
      </c>
      <c r="H1778" s="4">
        <v>0</v>
      </c>
      <c r="I1778" s="4">
        <v>0</v>
      </c>
      <c r="J1778" s="4"/>
      <c r="K1778" s="4"/>
      <c r="L1778" s="4"/>
      <c r="M1778" s="4"/>
      <c r="N1778" s="4"/>
      <c r="O1778" s="4"/>
    </row>
    <row r="1779" spans="1:15" x14ac:dyDescent="0.3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</row>
    <row r="1780" spans="1:15" x14ac:dyDescent="0.3">
      <c r="A1780" s="4" t="s">
        <v>934</v>
      </c>
      <c r="B1780" s="4" t="s">
        <v>49</v>
      </c>
      <c r="C1780" s="4" t="s">
        <v>12</v>
      </c>
      <c r="D1780" s="4">
        <v>25862418</v>
      </c>
      <c r="E1780" s="4">
        <v>12</v>
      </c>
      <c r="F1780" s="4" t="s">
        <v>1433</v>
      </c>
      <c r="G1780" s="4">
        <v>12</v>
      </c>
      <c r="H1780" s="4">
        <v>0</v>
      </c>
      <c r="I1780" s="4">
        <v>0</v>
      </c>
      <c r="J1780" s="4"/>
      <c r="K1780" s="4"/>
      <c r="L1780" s="4"/>
      <c r="M1780" s="4"/>
      <c r="N1780" s="4"/>
      <c r="O1780" s="4"/>
    </row>
    <row r="1781" spans="1:15" x14ac:dyDescent="0.3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</row>
    <row r="1782" spans="1:15" x14ac:dyDescent="0.3">
      <c r="A1782" s="4" t="s">
        <v>935</v>
      </c>
      <c r="B1782" s="4" t="s">
        <v>49</v>
      </c>
      <c r="C1782" s="4" t="s">
        <v>12</v>
      </c>
      <c r="D1782" s="4">
        <v>25862574</v>
      </c>
      <c r="E1782" s="4">
        <v>42</v>
      </c>
      <c r="F1782" s="4" t="s">
        <v>1433</v>
      </c>
      <c r="G1782" s="4">
        <v>42</v>
      </c>
      <c r="H1782" s="4">
        <v>0</v>
      </c>
      <c r="I1782" s="4">
        <v>0</v>
      </c>
      <c r="J1782" s="4"/>
      <c r="K1782" s="4"/>
      <c r="L1782" s="4"/>
      <c r="M1782" s="4"/>
      <c r="N1782" s="4"/>
      <c r="O1782" s="4"/>
    </row>
    <row r="1783" spans="1:15" x14ac:dyDescent="0.3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</row>
    <row r="1784" spans="1:15" x14ac:dyDescent="0.3">
      <c r="A1784" s="4" t="s">
        <v>936</v>
      </c>
      <c r="B1784" s="4" t="s">
        <v>49</v>
      </c>
      <c r="C1784" s="4" t="s">
        <v>12</v>
      </c>
      <c r="D1784" s="4">
        <v>25862766</v>
      </c>
      <c r="E1784" s="4">
        <v>14</v>
      </c>
      <c r="F1784" s="4" t="s">
        <v>1433</v>
      </c>
      <c r="G1784" s="4">
        <v>14</v>
      </c>
      <c r="H1784" s="4">
        <v>0</v>
      </c>
      <c r="I1784" s="4">
        <v>0</v>
      </c>
      <c r="J1784" s="4"/>
      <c r="K1784" s="4"/>
      <c r="L1784" s="4"/>
      <c r="M1784" s="4"/>
      <c r="N1784" s="4"/>
      <c r="O1784" s="4"/>
    </row>
    <row r="1785" spans="1:15" x14ac:dyDescent="0.3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</row>
    <row r="1786" spans="1:15" x14ac:dyDescent="0.3">
      <c r="A1786" s="4" t="s">
        <v>937</v>
      </c>
      <c r="B1786" s="4" t="s">
        <v>49</v>
      </c>
      <c r="C1786" s="4" t="s">
        <v>12</v>
      </c>
      <c r="D1786" s="4">
        <v>25862784</v>
      </c>
      <c r="E1786" s="4">
        <v>125</v>
      </c>
      <c r="F1786" s="4" t="s">
        <v>1433</v>
      </c>
      <c r="G1786" s="4">
        <v>125</v>
      </c>
      <c r="H1786" s="4">
        <v>0</v>
      </c>
      <c r="I1786" s="4">
        <v>0</v>
      </c>
      <c r="J1786" s="4"/>
      <c r="K1786" s="4"/>
      <c r="L1786" s="4"/>
      <c r="M1786" s="4"/>
      <c r="N1786" s="4"/>
      <c r="O1786" s="4"/>
    </row>
    <row r="1787" spans="1:15" x14ac:dyDescent="0.3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</row>
    <row r="1788" spans="1:15" x14ac:dyDescent="0.3">
      <c r="A1788" s="4" t="s">
        <v>938</v>
      </c>
      <c r="B1788" s="4" t="s">
        <v>49</v>
      </c>
      <c r="C1788" s="4" t="s">
        <v>12</v>
      </c>
      <c r="D1788" s="4">
        <v>25862928</v>
      </c>
      <c r="E1788" s="4">
        <v>15</v>
      </c>
      <c r="F1788" s="4" t="s">
        <v>1433</v>
      </c>
      <c r="G1788" s="4">
        <v>15</v>
      </c>
      <c r="H1788" s="4">
        <v>0</v>
      </c>
      <c r="I1788" s="4">
        <v>0</v>
      </c>
      <c r="J1788" s="4"/>
      <c r="K1788" s="4"/>
      <c r="L1788" s="4"/>
      <c r="M1788" s="4"/>
      <c r="N1788" s="4"/>
      <c r="O1788" s="4"/>
    </row>
    <row r="1789" spans="1:15" x14ac:dyDescent="0.3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</row>
    <row r="1790" spans="1:15" x14ac:dyDescent="0.3">
      <c r="A1790" s="4" t="s">
        <v>939</v>
      </c>
      <c r="B1790" s="4" t="s">
        <v>49</v>
      </c>
      <c r="C1790" s="4" t="s">
        <v>12</v>
      </c>
      <c r="D1790" s="4">
        <v>25863270</v>
      </c>
      <c r="E1790" s="4">
        <v>17</v>
      </c>
      <c r="F1790" s="4" t="s">
        <v>1433</v>
      </c>
      <c r="G1790" s="4">
        <v>17</v>
      </c>
      <c r="H1790" s="4">
        <v>0</v>
      </c>
      <c r="I1790" s="4">
        <v>0</v>
      </c>
      <c r="J1790" s="4"/>
      <c r="K1790" s="4"/>
      <c r="L1790" s="4"/>
      <c r="M1790" s="4"/>
      <c r="N1790" s="4"/>
      <c r="O1790" s="4"/>
    </row>
    <row r="1791" spans="1:15" x14ac:dyDescent="0.3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</row>
    <row r="1792" spans="1:15" x14ac:dyDescent="0.3">
      <c r="A1792" s="4" t="s">
        <v>940</v>
      </c>
      <c r="B1792" s="4" t="s">
        <v>49</v>
      </c>
      <c r="C1792" s="4" t="s">
        <v>12</v>
      </c>
      <c r="D1792" s="4">
        <v>25863318</v>
      </c>
      <c r="E1792" s="4">
        <v>27</v>
      </c>
      <c r="F1792" s="4" t="s">
        <v>1433</v>
      </c>
      <c r="G1792" s="4">
        <v>27</v>
      </c>
      <c r="H1792" s="4">
        <v>0</v>
      </c>
      <c r="I1792" s="4">
        <v>0</v>
      </c>
      <c r="J1792" s="4"/>
      <c r="K1792" s="4"/>
      <c r="L1792" s="4"/>
      <c r="M1792" s="4"/>
      <c r="N1792" s="4"/>
      <c r="O1792" s="4"/>
    </row>
    <row r="1793" spans="1:15" x14ac:dyDescent="0.3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</row>
    <row r="1794" spans="1:15" x14ac:dyDescent="0.3">
      <c r="A1794" s="4" t="s">
        <v>941</v>
      </c>
      <c r="B1794" s="4" t="s">
        <v>49</v>
      </c>
      <c r="C1794" s="4" t="s">
        <v>12</v>
      </c>
      <c r="D1794" s="4">
        <v>25863396</v>
      </c>
      <c r="E1794" s="4">
        <v>12</v>
      </c>
      <c r="F1794" s="4" t="s">
        <v>1433</v>
      </c>
      <c r="G1794" s="4">
        <v>12</v>
      </c>
      <c r="H1794" s="4">
        <v>0</v>
      </c>
      <c r="I1794" s="4">
        <v>0</v>
      </c>
      <c r="J1794" s="4"/>
      <c r="K1794" s="4"/>
      <c r="L1794" s="4"/>
      <c r="M1794" s="4"/>
      <c r="N1794" s="4"/>
      <c r="O1794" s="4"/>
    </row>
    <row r="1795" spans="1:15" x14ac:dyDescent="0.3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</row>
    <row r="1796" spans="1:15" x14ac:dyDescent="0.3">
      <c r="A1796" s="4" t="s">
        <v>942</v>
      </c>
      <c r="B1796" s="4" t="s">
        <v>49</v>
      </c>
      <c r="C1796" s="4" t="s">
        <v>12</v>
      </c>
      <c r="D1796" s="4">
        <v>25864032</v>
      </c>
      <c r="E1796" s="4">
        <v>18</v>
      </c>
      <c r="F1796" s="4" t="s">
        <v>1433</v>
      </c>
      <c r="G1796" s="4">
        <v>18</v>
      </c>
      <c r="H1796" s="4">
        <v>0</v>
      </c>
      <c r="I1796" s="4">
        <v>0</v>
      </c>
      <c r="J1796" s="4"/>
      <c r="K1796" s="4"/>
      <c r="L1796" s="4"/>
      <c r="M1796" s="4"/>
      <c r="N1796" s="4"/>
      <c r="O1796" s="4"/>
    </row>
    <row r="1797" spans="1:15" x14ac:dyDescent="0.3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</row>
    <row r="1798" spans="1:15" x14ac:dyDescent="0.3">
      <c r="A1798" s="4" t="s">
        <v>943</v>
      </c>
      <c r="B1798" s="4" t="s">
        <v>49</v>
      </c>
      <c r="C1798" s="4" t="s">
        <v>12</v>
      </c>
      <c r="D1798" s="4">
        <v>25864350</v>
      </c>
      <c r="E1798" s="4">
        <v>51</v>
      </c>
      <c r="F1798" s="4" t="s">
        <v>1433</v>
      </c>
      <c r="G1798" s="4">
        <v>51</v>
      </c>
      <c r="H1798" s="4">
        <v>0</v>
      </c>
      <c r="I1798" s="4">
        <v>0</v>
      </c>
      <c r="J1798" s="4"/>
      <c r="K1798" s="4"/>
      <c r="L1798" s="4"/>
      <c r="M1798" s="4"/>
      <c r="N1798" s="4"/>
      <c r="O1798" s="4"/>
    </row>
    <row r="1799" spans="1:15" x14ac:dyDescent="0.3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</row>
    <row r="1800" spans="1:15" x14ac:dyDescent="0.3">
      <c r="A1800" s="4" t="s">
        <v>944</v>
      </c>
      <c r="B1800" s="4" t="s">
        <v>49</v>
      </c>
      <c r="C1800" s="4" t="s">
        <v>12</v>
      </c>
      <c r="D1800" s="4">
        <v>25864560</v>
      </c>
      <c r="E1800" s="4">
        <v>1126</v>
      </c>
      <c r="F1800" s="4" t="s">
        <v>1433</v>
      </c>
      <c r="G1800" s="4">
        <v>1126</v>
      </c>
      <c r="H1800" s="4">
        <v>0</v>
      </c>
      <c r="I1800" s="4">
        <v>0</v>
      </c>
      <c r="J1800" s="4"/>
      <c r="K1800" s="4"/>
      <c r="L1800" s="4"/>
      <c r="M1800" s="4"/>
      <c r="N1800" s="4"/>
      <c r="O1800" s="4"/>
    </row>
    <row r="1801" spans="1:15" x14ac:dyDescent="0.3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</row>
    <row r="1802" spans="1:15" x14ac:dyDescent="0.3">
      <c r="A1802" s="4" t="s">
        <v>945</v>
      </c>
      <c r="B1802" s="4" t="s">
        <v>49</v>
      </c>
      <c r="C1802" s="4" t="s">
        <v>12</v>
      </c>
      <c r="D1802" s="4">
        <v>25864668</v>
      </c>
      <c r="E1802" s="4">
        <v>12</v>
      </c>
      <c r="F1802" s="4" t="s">
        <v>1433</v>
      </c>
      <c r="G1802" s="4">
        <v>12</v>
      </c>
      <c r="H1802" s="4">
        <v>0</v>
      </c>
      <c r="I1802" s="4">
        <v>0</v>
      </c>
      <c r="J1802" s="4"/>
      <c r="K1802" s="4"/>
      <c r="L1802" s="4"/>
      <c r="M1802" s="4"/>
      <c r="N1802" s="4"/>
      <c r="O1802" s="4"/>
    </row>
    <row r="1803" spans="1:15" x14ac:dyDescent="0.3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</row>
    <row r="1804" spans="1:15" x14ac:dyDescent="0.3">
      <c r="A1804" s="4" t="s">
        <v>946</v>
      </c>
      <c r="B1804" s="4" t="s">
        <v>49</v>
      </c>
      <c r="C1804" s="4" t="s">
        <v>12</v>
      </c>
      <c r="D1804" s="4">
        <v>25864788</v>
      </c>
      <c r="E1804" s="4">
        <v>12</v>
      </c>
      <c r="F1804" s="4" t="s">
        <v>1433</v>
      </c>
      <c r="G1804" s="4">
        <v>12</v>
      </c>
      <c r="H1804" s="4">
        <v>0</v>
      </c>
      <c r="I1804" s="4">
        <v>0</v>
      </c>
      <c r="J1804" s="4"/>
      <c r="K1804" s="4"/>
      <c r="L1804" s="4"/>
      <c r="M1804" s="4"/>
      <c r="N1804" s="4"/>
      <c r="O1804" s="4"/>
    </row>
    <row r="1805" spans="1:15" x14ac:dyDescent="0.3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</row>
    <row r="1806" spans="1:15" x14ac:dyDescent="0.3">
      <c r="A1806" s="4" t="s">
        <v>947</v>
      </c>
      <c r="B1806" s="4" t="s">
        <v>49</v>
      </c>
      <c r="C1806" s="4" t="s">
        <v>12</v>
      </c>
      <c r="D1806" s="4">
        <v>25865196</v>
      </c>
      <c r="E1806" s="4">
        <v>13</v>
      </c>
      <c r="F1806" s="4" t="s">
        <v>1433</v>
      </c>
      <c r="G1806" s="4">
        <v>13</v>
      </c>
      <c r="H1806" s="4">
        <v>0</v>
      </c>
      <c r="I1806" s="4">
        <v>0</v>
      </c>
      <c r="J1806" s="4"/>
      <c r="K1806" s="4"/>
      <c r="L1806" s="4"/>
      <c r="M1806" s="4"/>
      <c r="N1806" s="4"/>
      <c r="O1806" s="4"/>
    </row>
    <row r="1807" spans="1:15" x14ac:dyDescent="0.3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</row>
    <row r="1808" spans="1:15" x14ac:dyDescent="0.3">
      <c r="A1808" s="4" t="s">
        <v>948</v>
      </c>
      <c r="B1808" s="4" t="s">
        <v>49</v>
      </c>
      <c r="C1808" s="4" t="s">
        <v>12</v>
      </c>
      <c r="D1808" s="4">
        <v>25865226</v>
      </c>
      <c r="E1808" s="4">
        <v>91</v>
      </c>
      <c r="F1808" s="4" t="s">
        <v>1433</v>
      </c>
      <c r="G1808" s="4">
        <v>91</v>
      </c>
      <c r="H1808" s="4">
        <v>0</v>
      </c>
      <c r="I1808" s="4">
        <v>0</v>
      </c>
      <c r="J1808" s="4"/>
      <c r="K1808" s="4"/>
      <c r="L1808" s="4"/>
      <c r="M1808" s="4"/>
      <c r="N1808" s="4"/>
      <c r="O1808" s="4"/>
    </row>
    <row r="1809" spans="1:15" x14ac:dyDescent="0.3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</row>
    <row r="1810" spans="1:15" x14ac:dyDescent="0.3">
      <c r="A1810" s="4" t="s">
        <v>949</v>
      </c>
      <c r="B1810" s="4" t="s">
        <v>49</v>
      </c>
      <c r="C1810" s="4" t="s">
        <v>12</v>
      </c>
      <c r="D1810" s="4">
        <v>25865550</v>
      </c>
      <c r="E1810" s="4">
        <v>11</v>
      </c>
      <c r="F1810" s="4" t="s">
        <v>1433</v>
      </c>
      <c r="G1810" s="4">
        <v>11</v>
      </c>
      <c r="H1810" s="4">
        <v>0</v>
      </c>
      <c r="I1810" s="4">
        <v>0</v>
      </c>
      <c r="J1810" s="4"/>
      <c r="K1810" s="4"/>
      <c r="L1810" s="4"/>
      <c r="M1810" s="4"/>
      <c r="N1810" s="4"/>
      <c r="O1810" s="4"/>
    </row>
    <row r="1811" spans="1:15" x14ac:dyDescent="0.3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</row>
    <row r="1812" spans="1:15" x14ac:dyDescent="0.3">
      <c r="A1812" s="4" t="s">
        <v>950</v>
      </c>
      <c r="B1812" s="4" t="s">
        <v>49</v>
      </c>
      <c r="C1812" s="4" t="s">
        <v>12</v>
      </c>
      <c r="D1812" s="4">
        <v>25865556</v>
      </c>
      <c r="E1812" s="4">
        <v>9</v>
      </c>
      <c r="F1812" s="4" t="s">
        <v>1433</v>
      </c>
      <c r="G1812" s="4">
        <v>9</v>
      </c>
      <c r="H1812" s="4">
        <v>0</v>
      </c>
      <c r="I1812" s="4">
        <v>0</v>
      </c>
      <c r="J1812" s="4"/>
      <c r="K1812" s="4"/>
      <c r="L1812" s="4"/>
      <c r="M1812" s="4"/>
      <c r="N1812" s="4"/>
      <c r="O1812" s="4"/>
    </row>
    <row r="1813" spans="1:15" x14ac:dyDescent="0.3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</row>
    <row r="1814" spans="1:15" x14ac:dyDescent="0.3">
      <c r="A1814" s="4" t="s">
        <v>951</v>
      </c>
      <c r="B1814" s="4" t="s">
        <v>49</v>
      </c>
      <c r="C1814" s="4" t="s">
        <v>12</v>
      </c>
      <c r="D1814" s="4">
        <v>25865844</v>
      </c>
      <c r="E1814" s="4">
        <v>13</v>
      </c>
      <c r="F1814" s="4" t="s">
        <v>1433</v>
      </c>
      <c r="G1814" s="4">
        <v>13</v>
      </c>
      <c r="H1814" s="4">
        <v>0</v>
      </c>
      <c r="I1814" s="4">
        <v>0</v>
      </c>
      <c r="J1814" s="4"/>
      <c r="K1814" s="4"/>
      <c r="L1814" s="4"/>
      <c r="M1814" s="4"/>
      <c r="N1814" s="4"/>
      <c r="O1814" s="4"/>
    </row>
    <row r="1815" spans="1:15" x14ac:dyDescent="0.3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</row>
    <row r="1816" spans="1:15" x14ac:dyDescent="0.3">
      <c r="A1816" s="4" t="s">
        <v>952</v>
      </c>
      <c r="B1816" s="4" t="s">
        <v>49</v>
      </c>
      <c r="C1816" s="4" t="s">
        <v>12</v>
      </c>
      <c r="D1816" s="4">
        <v>25865910</v>
      </c>
      <c r="E1816" s="4">
        <v>18</v>
      </c>
      <c r="F1816" s="4" t="s">
        <v>1433</v>
      </c>
      <c r="G1816" s="4">
        <v>18</v>
      </c>
      <c r="H1816" s="4">
        <v>0</v>
      </c>
      <c r="I1816" s="4">
        <v>0</v>
      </c>
      <c r="J1816" s="4"/>
      <c r="K1816" s="4"/>
      <c r="L1816" s="4"/>
      <c r="M1816" s="4"/>
      <c r="N1816" s="4"/>
      <c r="O1816" s="4"/>
    </row>
    <row r="1817" spans="1:15" x14ac:dyDescent="0.3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</row>
    <row r="1818" spans="1:15" x14ac:dyDescent="0.3">
      <c r="A1818" s="4" t="s">
        <v>953</v>
      </c>
      <c r="B1818" s="4" t="s">
        <v>49</v>
      </c>
      <c r="C1818" s="4" t="s">
        <v>12</v>
      </c>
      <c r="D1818" s="4">
        <v>25866774</v>
      </c>
      <c r="E1818" s="4">
        <v>9</v>
      </c>
      <c r="F1818" s="4" t="s">
        <v>1433</v>
      </c>
      <c r="G1818" s="4">
        <v>9</v>
      </c>
      <c r="H1818" s="4">
        <v>0</v>
      </c>
      <c r="I1818" s="4">
        <v>0</v>
      </c>
      <c r="J1818" s="4"/>
      <c r="K1818" s="4"/>
      <c r="L1818" s="4"/>
      <c r="M1818" s="4"/>
      <c r="N1818" s="4"/>
      <c r="O1818" s="4"/>
    </row>
    <row r="1819" spans="1:15" x14ac:dyDescent="0.3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</row>
    <row r="1820" spans="1:15" x14ac:dyDescent="0.3">
      <c r="A1820" s="4" t="s">
        <v>954</v>
      </c>
      <c r="B1820" s="4" t="s">
        <v>49</v>
      </c>
      <c r="C1820" s="4" t="s">
        <v>12</v>
      </c>
      <c r="D1820" s="4">
        <v>25866864</v>
      </c>
      <c r="E1820" s="4">
        <v>6</v>
      </c>
      <c r="F1820" s="4" t="s">
        <v>1433</v>
      </c>
      <c r="G1820" s="4">
        <v>6</v>
      </c>
      <c r="H1820" s="4">
        <v>0</v>
      </c>
      <c r="I1820" s="4">
        <v>0</v>
      </c>
      <c r="J1820" s="4"/>
      <c r="K1820" s="4"/>
      <c r="L1820" s="4"/>
      <c r="M1820" s="4"/>
      <c r="N1820" s="4"/>
      <c r="O1820" s="4"/>
    </row>
    <row r="1821" spans="1:15" x14ac:dyDescent="0.3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</row>
    <row r="1822" spans="1:15" x14ac:dyDescent="0.3">
      <c r="A1822" s="4" t="s">
        <v>955</v>
      </c>
      <c r="B1822" s="4" t="s">
        <v>49</v>
      </c>
      <c r="C1822" s="4" t="s">
        <v>12</v>
      </c>
      <c r="D1822" s="4">
        <v>25866918</v>
      </c>
      <c r="E1822" s="4">
        <v>9</v>
      </c>
      <c r="F1822" s="4" t="s">
        <v>1433</v>
      </c>
      <c r="G1822" s="4">
        <v>9</v>
      </c>
      <c r="H1822" s="4">
        <v>0</v>
      </c>
      <c r="I1822" s="4">
        <v>0</v>
      </c>
      <c r="J1822" s="4"/>
      <c r="K1822" s="4"/>
      <c r="L1822" s="4"/>
      <c r="M1822" s="4"/>
      <c r="N1822" s="4"/>
      <c r="O1822" s="4"/>
    </row>
    <row r="1823" spans="1:15" x14ac:dyDescent="0.3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</row>
    <row r="1824" spans="1:15" x14ac:dyDescent="0.3">
      <c r="A1824" s="4" t="s">
        <v>956</v>
      </c>
      <c r="B1824" s="4" t="s">
        <v>49</v>
      </c>
      <c r="C1824" s="4" t="s">
        <v>12</v>
      </c>
      <c r="D1824" s="4">
        <v>25867014</v>
      </c>
      <c r="E1824" s="4">
        <v>13</v>
      </c>
      <c r="F1824" s="4" t="s">
        <v>1433</v>
      </c>
      <c r="G1824" s="4">
        <v>13</v>
      </c>
      <c r="H1824" s="4">
        <v>0</v>
      </c>
      <c r="I1824" s="4">
        <v>0</v>
      </c>
      <c r="J1824" s="4"/>
      <c r="K1824" s="4"/>
      <c r="L1824" s="4"/>
      <c r="M1824" s="4"/>
      <c r="N1824" s="4"/>
      <c r="O1824" s="4"/>
    </row>
    <row r="1825" spans="1:15" x14ac:dyDescent="0.3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</row>
    <row r="1826" spans="1:15" x14ac:dyDescent="0.3">
      <c r="A1826" s="4" t="s">
        <v>957</v>
      </c>
      <c r="B1826" s="4" t="s">
        <v>49</v>
      </c>
      <c r="C1826" s="4" t="s">
        <v>12</v>
      </c>
      <c r="D1826" s="4">
        <v>25867068</v>
      </c>
      <c r="E1826" s="4">
        <v>13</v>
      </c>
      <c r="F1826" s="4" t="s">
        <v>1433</v>
      </c>
      <c r="G1826" s="4">
        <v>13</v>
      </c>
      <c r="H1826" s="4">
        <v>0</v>
      </c>
      <c r="I1826" s="4">
        <v>0</v>
      </c>
      <c r="J1826" s="4"/>
      <c r="K1826" s="4"/>
      <c r="L1826" s="4"/>
      <c r="M1826" s="4"/>
      <c r="N1826" s="4"/>
      <c r="O1826" s="4"/>
    </row>
    <row r="1827" spans="1:15" x14ac:dyDescent="0.3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</row>
    <row r="1828" spans="1:15" x14ac:dyDescent="0.3">
      <c r="A1828" s="4" t="s">
        <v>958</v>
      </c>
      <c r="B1828" s="4" t="s">
        <v>49</v>
      </c>
      <c r="C1828" s="4" t="s">
        <v>12</v>
      </c>
      <c r="D1828" s="4">
        <v>25867182</v>
      </c>
      <c r="E1828" s="4">
        <v>20</v>
      </c>
      <c r="F1828" s="4" t="s">
        <v>1433</v>
      </c>
      <c r="G1828" s="4">
        <v>20</v>
      </c>
      <c r="H1828" s="4">
        <v>0</v>
      </c>
      <c r="I1828" s="4">
        <v>0</v>
      </c>
      <c r="J1828" s="4"/>
      <c r="K1828" s="4"/>
      <c r="L1828" s="4"/>
      <c r="M1828" s="4"/>
      <c r="N1828" s="4"/>
      <c r="O1828" s="4"/>
    </row>
    <row r="1829" spans="1:15" x14ac:dyDescent="0.3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</row>
    <row r="1830" spans="1:15" x14ac:dyDescent="0.3">
      <c r="A1830" s="4" t="s">
        <v>959</v>
      </c>
      <c r="B1830" s="4" t="s">
        <v>49</v>
      </c>
      <c r="C1830" s="4" t="s">
        <v>12</v>
      </c>
      <c r="D1830" s="4">
        <v>25868292</v>
      </c>
      <c r="E1830" s="4">
        <v>26</v>
      </c>
      <c r="F1830" s="4" t="s">
        <v>1433</v>
      </c>
      <c r="G1830" s="4">
        <v>26</v>
      </c>
      <c r="H1830" s="4">
        <v>0</v>
      </c>
      <c r="I1830" s="4">
        <v>0</v>
      </c>
      <c r="J1830" s="4"/>
      <c r="K1830" s="4"/>
      <c r="L1830" s="4"/>
      <c r="M1830" s="4"/>
      <c r="N1830" s="4"/>
      <c r="O1830" s="4"/>
    </row>
    <row r="1831" spans="1:15" x14ac:dyDescent="0.3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</row>
    <row r="1832" spans="1:15" x14ac:dyDescent="0.3">
      <c r="A1832" s="4" t="s">
        <v>960</v>
      </c>
      <c r="B1832" s="4" t="s">
        <v>49</v>
      </c>
      <c r="C1832" s="4" t="s">
        <v>12</v>
      </c>
      <c r="D1832" s="4">
        <v>25868610</v>
      </c>
      <c r="E1832" s="4">
        <v>9</v>
      </c>
      <c r="F1832" s="4" t="s">
        <v>1433</v>
      </c>
      <c r="G1832" s="4">
        <v>9</v>
      </c>
      <c r="H1832" s="4">
        <v>0</v>
      </c>
      <c r="I1832" s="4">
        <v>0</v>
      </c>
      <c r="J1832" s="4"/>
      <c r="K1832" s="4"/>
      <c r="L1832" s="4"/>
      <c r="M1832" s="4"/>
      <c r="N1832" s="4"/>
      <c r="O1832" s="4"/>
    </row>
    <row r="1833" spans="1:15" x14ac:dyDescent="0.3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</row>
    <row r="1834" spans="1:15" x14ac:dyDescent="0.3">
      <c r="A1834" s="4" t="s">
        <v>961</v>
      </c>
      <c r="B1834" s="4" t="s">
        <v>49</v>
      </c>
      <c r="C1834" s="4" t="s">
        <v>12</v>
      </c>
      <c r="D1834" s="4">
        <v>25868820</v>
      </c>
      <c r="E1834" s="4">
        <v>13</v>
      </c>
      <c r="F1834" s="4" t="s">
        <v>1433</v>
      </c>
      <c r="G1834" s="4">
        <v>13</v>
      </c>
      <c r="H1834" s="4">
        <v>0</v>
      </c>
      <c r="I1834" s="4">
        <v>0</v>
      </c>
      <c r="J1834" s="4"/>
      <c r="K1834" s="4"/>
      <c r="L1834" s="4"/>
      <c r="M1834" s="4"/>
      <c r="N1834" s="4"/>
      <c r="O1834" s="4"/>
    </row>
    <row r="1835" spans="1:15" x14ac:dyDescent="0.3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</row>
    <row r="1836" spans="1:15" x14ac:dyDescent="0.3">
      <c r="A1836" s="4" t="s">
        <v>962</v>
      </c>
      <c r="B1836" s="4" t="s">
        <v>49</v>
      </c>
      <c r="C1836" s="4" t="s">
        <v>12</v>
      </c>
      <c r="D1836" s="4">
        <v>25869078</v>
      </c>
      <c r="E1836" s="4">
        <v>14</v>
      </c>
      <c r="F1836" s="4" t="s">
        <v>1433</v>
      </c>
      <c r="G1836" s="4">
        <v>14</v>
      </c>
      <c r="H1836" s="4">
        <v>0</v>
      </c>
      <c r="I1836" s="4">
        <v>0</v>
      </c>
      <c r="J1836" s="4"/>
      <c r="K1836" s="4"/>
      <c r="L1836" s="4"/>
      <c r="M1836" s="4"/>
      <c r="N1836" s="4"/>
      <c r="O1836" s="4"/>
    </row>
    <row r="1837" spans="1:15" x14ac:dyDescent="0.3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</row>
    <row r="1838" spans="1:15" x14ac:dyDescent="0.3">
      <c r="A1838" s="4" t="s">
        <v>963</v>
      </c>
      <c r="B1838" s="4" t="s">
        <v>49</v>
      </c>
      <c r="C1838" s="4" t="s">
        <v>12</v>
      </c>
      <c r="D1838" s="4">
        <v>25869096</v>
      </c>
      <c r="E1838" s="4">
        <v>20</v>
      </c>
      <c r="F1838" s="4" t="s">
        <v>1433</v>
      </c>
      <c r="G1838" s="4">
        <v>20</v>
      </c>
      <c r="H1838" s="4">
        <v>0</v>
      </c>
      <c r="I1838" s="4">
        <v>0</v>
      </c>
      <c r="J1838" s="4"/>
      <c r="K1838" s="4"/>
      <c r="L1838" s="4"/>
      <c r="M1838" s="4"/>
      <c r="N1838" s="4"/>
      <c r="O1838" s="4"/>
    </row>
    <row r="1839" spans="1:15" x14ac:dyDescent="0.3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</row>
    <row r="1840" spans="1:15" x14ac:dyDescent="0.3">
      <c r="A1840" s="4" t="s">
        <v>964</v>
      </c>
      <c r="B1840" s="4" t="s">
        <v>49</v>
      </c>
      <c r="C1840" s="4" t="s">
        <v>12</v>
      </c>
      <c r="D1840" s="4">
        <v>25869108</v>
      </c>
      <c r="E1840" s="4">
        <v>17</v>
      </c>
      <c r="F1840" s="4" t="s">
        <v>1433</v>
      </c>
      <c r="G1840" s="4">
        <v>17</v>
      </c>
      <c r="H1840" s="4">
        <v>0</v>
      </c>
      <c r="I1840" s="4">
        <v>0</v>
      </c>
      <c r="J1840" s="4"/>
      <c r="K1840" s="4"/>
      <c r="L1840" s="4"/>
      <c r="M1840" s="4"/>
      <c r="N1840" s="4"/>
      <c r="O1840" s="4"/>
    </row>
    <row r="1841" spans="1:15" x14ac:dyDescent="0.3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</row>
    <row r="1842" spans="1:15" x14ac:dyDescent="0.3">
      <c r="A1842" s="4" t="s">
        <v>965</v>
      </c>
      <c r="B1842" s="4" t="s">
        <v>49</v>
      </c>
      <c r="C1842" s="4" t="s">
        <v>12</v>
      </c>
      <c r="D1842" s="4">
        <v>25869960</v>
      </c>
      <c r="E1842" s="4">
        <v>51</v>
      </c>
      <c r="F1842" s="4" t="s">
        <v>1433</v>
      </c>
      <c r="G1842" s="4">
        <v>51</v>
      </c>
      <c r="H1842" s="4">
        <v>0</v>
      </c>
      <c r="I1842" s="4">
        <v>0</v>
      </c>
      <c r="J1842" s="4"/>
      <c r="K1842" s="4"/>
      <c r="L1842" s="4"/>
      <c r="M1842" s="4"/>
      <c r="N1842" s="4"/>
      <c r="O1842" s="4"/>
    </row>
    <row r="1843" spans="1:15" x14ac:dyDescent="0.3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</row>
    <row r="1844" spans="1:15" x14ac:dyDescent="0.3">
      <c r="A1844" s="4" t="s">
        <v>966</v>
      </c>
      <c r="B1844" s="4" t="s">
        <v>49</v>
      </c>
      <c r="C1844" s="4" t="s">
        <v>12</v>
      </c>
      <c r="D1844" s="4">
        <v>25870098</v>
      </c>
      <c r="E1844" s="4">
        <v>20</v>
      </c>
      <c r="F1844" s="4" t="s">
        <v>1433</v>
      </c>
      <c r="G1844" s="4">
        <v>20</v>
      </c>
      <c r="H1844" s="4">
        <v>0</v>
      </c>
      <c r="I1844" s="4">
        <v>0</v>
      </c>
      <c r="J1844" s="4"/>
      <c r="K1844" s="4"/>
      <c r="L1844" s="4"/>
      <c r="M1844" s="4"/>
      <c r="N1844" s="4"/>
      <c r="O1844" s="4"/>
    </row>
    <row r="1845" spans="1:15" x14ac:dyDescent="0.3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</row>
    <row r="1846" spans="1:15" x14ac:dyDescent="0.3">
      <c r="A1846" s="4" t="s">
        <v>967</v>
      </c>
      <c r="B1846" s="4" t="s">
        <v>49</v>
      </c>
      <c r="C1846" s="4" t="s">
        <v>12</v>
      </c>
      <c r="D1846" s="4">
        <v>25870110</v>
      </c>
      <c r="E1846" s="4">
        <v>95</v>
      </c>
      <c r="F1846" s="4" t="s">
        <v>1433</v>
      </c>
      <c r="G1846" s="4">
        <v>95</v>
      </c>
      <c r="H1846" s="4">
        <v>0</v>
      </c>
      <c r="I1846" s="4">
        <v>0</v>
      </c>
      <c r="J1846" s="4"/>
      <c r="K1846" s="4"/>
      <c r="L1846" s="4"/>
      <c r="M1846" s="4"/>
      <c r="N1846" s="4"/>
      <c r="O1846" s="4"/>
    </row>
    <row r="1847" spans="1:15" x14ac:dyDescent="0.3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</row>
    <row r="1848" spans="1:15" x14ac:dyDescent="0.3">
      <c r="A1848" s="4" t="s">
        <v>968</v>
      </c>
      <c r="B1848" s="4" t="s">
        <v>49</v>
      </c>
      <c r="C1848" s="4" t="s">
        <v>12</v>
      </c>
      <c r="D1848" s="4">
        <v>25870146</v>
      </c>
      <c r="E1848" s="4">
        <v>22</v>
      </c>
      <c r="F1848" s="4" t="s">
        <v>1433</v>
      </c>
      <c r="G1848" s="4">
        <v>22</v>
      </c>
      <c r="H1848" s="4">
        <v>0</v>
      </c>
      <c r="I1848" s="4">
        <v>0</v>
      </c>
      <c r="J1848" s="4"/>
      <c r="K1848" s="4"/>
      <c r="L1848" s="4"/>
      <c r="M1848" s="4"/>
      <c r="N1848" s="4"/>
      <c r="O1848" s="4"/>
    </row>
    <row r="1849" spans="1:15" x14ac:dyDescent="0.3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</row>
    <row r="1850" spans="1:15" x14ac:dyDescent="0.3">
      <c r="A1850" s="4" t="s">
        <v>969</v>
      </c>
      <c r="B1850" s="4" t="s">
        <v>49</v>
      </c>
      <c r="C1850" s="4" t="s">
        <v>12</v>
      </c>
      <c r="D1850" s="4">
        <v>25870374</v>
      </c>
      <c r="E1850" s="4">
        <v>69</v>
      </c>
      <c r="F1850" s="4" t="s">
        <v>1433</v>
      </c>
      <c r="G1850" s="4">
        <v>69</v>
      </c>
      <c r="H1850" s="4">
        <v>0</v>
      </c>
      <c r="I1850" s="4">
        <v>0</v>
      </c>
      <c r="J1850" s="4"/>
      <c r="K1850" s="4"/>
      <c r="L1850" s="4"/>
      <c r="M1850" s="4"/>
      <c r="N1850" s="4"/>
      <c r="O1850" s="4"/>
    </row>
    <row r="1851" spans="1:15" x14ac:dyDescent="0.3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</row>
    <row r="1852" spans="1:15" x14ac:dyDescent="0.3">
      <c r="A1852" s="4" t="s">
        <v>970</v>
      </c>
      <c r="B1852" s="4" t="s">
        <v>49</v>
      </c>
      <c r="C1852" s="4" t="s">
        <v>12</v>
      </c>
      <c r="D1852" s="4">
        <v>25870524</v>
      </c>
      <c r="E1852" s="4">
        <v>82</v>
      </c>
      <c r="F1852" s="4" t="s">
        <v>1433</v>
      </c>
      <c r="G1852" s="4">
        <v>82</v>
      </c>
      <c r="H1852" s="4">
        <v>0</v>
      </c>
      <c r="I1852" s="4">
        <v>0</v>
      </c>
      <c r="J1852" s="4"/>
      <c r="K1852" s="4"/>
      <c r="L1852" s="4"/>
      <c r="M1852" s="4"/>
      <c r="N1852" s="4"/>
      <c r="O1852" s="4"/>
    </row>
    <row r="1853" spans="1:15" x14ac:dyDescent="0.3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</row>
    <row r="1854" spans="1:15" x14ac:dyDescent="0.3">
      <c r="A1854" s="4" t="s">
        <v>971</v>
      </c>
      <c r="B1854" s="4" t="s">
        <v>49</v>
      </c>
      <c r="C1854" s="4" t="s">
        <v>12</v>
      </c>
      <c r="D1854" s="4">
        <v>25870608</v>
      </c>
      <c r="E1854" s="4">
        <v>13</v>
      </c>
      <c r="F1854" s="4" t="s">
        <v>1433</v>
      </c>
      <c r="G1854" s="4">
        <v>13</v>
      </c>
      <c r="H1854" s="4">
        <v>0</v>
      </c>
      <c r="I1854" s="4">
        <v>0</v>
      </c>
      <c r="J1854" s="4"/>
      <c r="K1854" s="4"/>
      <c r="L1854" s="4"/>
      <c r="M1854" s="4"/>
      <c r="N1854" s="4"/>
      <c r="O1854" s="4"/>
    </row>
    <row r="1855" spans="1:15" x14ac:dyDescent="0.3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</row>
    <row r="1856" spans="1:15" x14ac:dyDescent="0.3">
      <c r="A1856" s="4" t="s">
        <v>972</v>
      </c>
      <c r="B1856" s="4" t="s">
        <v>49</v>
      </c>
      <c r="C1856" s="4" t="s">
        <v>12</v>
      </c>
      <c r="D1856" s="4">
        <v>25870650</v>
      </c>
      <c r="E1856" s="4">
        <v>15</v>
      </c>
      <c r="F1856" s="4" t="s">
        <v>1433</v>
      </c>
      <c r="G1856" s="4">
        <v>15</v>
      </c>
      <c r="H1856" s="4">
        <v>0</v>
      </c>
      <c r="I1856" s="4">
        <v>0</v>
      </c>
      <c r="J1856" s="4"/>
      <c r="K1856" s="4"/>
      <c r="L1856" s="4"/>
      <c r="M1856" s="4"/>
      <c r="N1856" s="4"/>
      <c r="O1856" s="4"/>
    </row>
    <row r="1857" spans="1:15" x14ac:dyDescent="0.3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</row>
    <row r="1858" spans="1:15" x14ac:dyDescent="0.3">
      <c r="A1858" s="4" t="s">
        <v>973</v>
      </c>
      <c r="B1858" s="4" t="s">
        <v>49</v>
      </c>
      <c r="C1858" s="4" t="s">
        <v>12</v>
      </c>
      <c r="D1858" s="4">
        <v>25870758</v>
      </c>
      <c r="E1858" s="4">
        <v>12</v>
      </c>
      <c r="F1858" s="4" t="s">
        <v>1433</v>
      </c>
      <c r="G1858" s="4">
        <v>12</v>
      </c>
      <c r="H1858" s="4">
        <v>0</v>
      </c>
      <c r="I1858" s="4">
        <v>0</v>
      </c>
      <c r="J1858" s="4"/>
      <c r="K1858" s="4"/>
      <c r="L1858" s="4"/>
      <c r="M1858" s="4"/>
      <c r="N1858" s="4"/>
      <c r="O1858" s="4"/>
    </row>
    <row r="1859" spans="1:15" x14ac:dyDescent="0.3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</row>
    <row r="1860" spans="1:15" x14ac:dyDescent="0.3">
      <c r="A1860" s="4" t="s">
        <v>974</v>
      </c>
      <c r="B1860" s="4" t="s">
        <v>49</v>
      </c>
      <c r="C1860" s="4" t="s">
        <v>12</v>
      </c>
      <c r="D1860" s="4">
        <v>25871604</v>
      </c>
      <c r="E1860" s="4">
        <v>9</v>
      </c>
      <c r="F1860" s="4" t="s">
        <v>1433</v>
      </c>
      <c r="G1860" s="4">
        <v>9</v>
      </c>
      <c r="H1860" s="4">
        <v>0</v>
      </c>
      <c r="I1860" s="4">
        <v>0</v>
      </c>
      <c r="J1860" s="4"/>
      <c r="K1860" s="4"/>
      <c r="L1860" s="4"/>
      <c r="M1860" s="4"/>
      <c r="N1860" s="4"/>
      <c r="O1860" s="4"/>
    </row>
    <row r="1861" spans="1:15" x14ac:dyDescent="0.3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</row>
    <row r="1862" spans="1:15" x14ac:dyDescent="0.3">
      <c r="A1862" s="4" t="s">
        <v>975</v>
      </c>
      <c r="B1862" s="4" t="s">
        <v>49</v>
      </c>
      <c r="C1862" s="4" t="s">
        <v>12</v>
      </c>
      <c r="D1862" s="4">
        <v>25871760</v>
      </c>
      <c r="E1862" s="4">
        <v>26</v>
      </c>
      <c r="F1862" s="4" t="s">
        <v>1433</v>
      </c>
      <c r="G1862" s="4">
        <v>26</v>
      </c>
      <c r="H1862" s="4">
        <v>0</v>
      </c>
      <c r="I1862" s="4">
        <v>0</v>
      </c>
      <c r="J1862" s="4"/>
      <c r="K1862" s="4"/>
      <c r="L1862" s="4"/>
      <c r="M1862" s="4"/>
      <c r="N1862" s="4"/>
      <c r="O1862" s="4"/>
    </row>
    <row r="1863" spans="1:15" x14ac:dyDescent="0.3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</row>
    <row r="1864" spans="1:15" x14ac:dyDescent="0.3">
      <c r="A1864" s="4" t="s">
        <v>976</v>
      </c>
      <c r="B1864" s="4" t="s">
        <v>49</v>
      </c>
      <c r="C1864" s="4" t="s">
        <v>12</v>
      </c>
      <c r="D1864" s="4">
        <v>25871922</v>
      </c>
      <c r="E1864" s="4">
        <v>32</v>
      </c>
      <c r="F1864" s="4" t="s">
        <v>1433</v>
      </c>
      <c r="G1864" s="4">
        <v>32</v>
      </c>
      <c r="H1864" s="4">
        <v>0</v>
      </c>
      <c r="I1864" s="4">
        <v>0</v>
      </c>
      <c r="J1864" s="4"/>
      <c r="K1864" s="4"/>
      <c r="L1864" s="4"/>
      <c r="M1864" s="4"/>
      <c r="N1864" s="4"/>
      <c r="O1864" s="4"/>
    </row>
    <row r="1865" spans="1:15" x14ac:dyDescent="0.3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</row>
    <row r="1866" spans="1:15" x14ac:dyDescent="0.3">
      <c r="A1866" s="4" t="s">
        <v>977</v>
      </c>
      <c r="B1866" s="4" t="s">
        <v>49</v>
      </c>
      <c r="C1866" s="4" t="s">
        <v>12</v>
      </c>
      <c r="D1866" s="4">
        <v>25871934</v>
      </c>
      <c r="E1866" s="4">
        <v>318</v>
      </c>
      <c r="F1866" s="4" t="s">
        <v>1433</v>
      </c>
      <c r="G1866" s="4">
        <v>318</v>
      </c>
      <c r="H1866" s="4">
        <v>0</v>
      </c>
      <c r="I1866" s="4">
        <v>0</v>
      </c>
      <c r="J1866" s="4"/>
      <c r="K1866" s="4"/>
      <c r="L1866" s="4"/>
      <c r="M1866" s="4"/>
      <c r="N1866" s="4"/>
      <c r="O1866" s="4"/>
    </row>
    <row r="1867" spans="1:15" x14ac:dyDescent="0.3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</row>
    <row r="1868" spans="1:15" x14ac:dyDescent="0.3">
      <c r="A1868" s="4" t="s">
        <v>978</v>
      </c>
      <c r="B1868" s="4" t="s">
        <v>49</v>
      </c>
      <c r="C1868" s="4" t="s">
        <v>12</v>
      </c>
      <c r="D1868" s="4">
        <v>25871952</v>
      </c>
      <c r="E1868" s="4">
        <v>11</v>
      </c>
      <c r="F1868" s="4" t="s">
        <v>1433</v>
      </c>
      <c r="G1868" s="4">
        <v>11</v>
      </c>
      <c r="H1868" s="4">
        <v>0</v>
      </c>
      <c r="I1868" s="4">
        <v>0</v>
      </c>
      <c r="J1868" s="4"/>
      <c r="K1868" s="4"/>
      <c r="L1868" s="4"/>
      <c r="M1868" s="4"/>
      <c r="N1868" s="4"/>
      <c r="O1868" s="4"/>
    </row>
    <row r="1869" spans="1:15" x14ac:dyDescent="0.3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</row>
    <row r="1870" spans="1:15" x14ac:dyDescent="0.3">
      <c r="A1870" s="4" t="s">
        <v>979</v>
      </c>
      <c r="B1870" s="4" t="s">
        <v>49</v>
      </c>
      <c r="C1870" s="4" t="s">
        <v>12</v>
      </c>
      <c r="D1870" s="4">
        <v>25872036</v>
      </c>
      <c r="E1870" s="4">
        <v>29</v>
      </c>
      <c r="F1870" s="4" t="s">
        <v>1433</v>
      </c>
      <c r="G1870" s="4">
        <v>29</v>
      </c>
      <c r="H1870" s="4">
        <v>0</v>
      </c>
      <c r="I1870" s="4">
        <v>0</v>
      </c>
      <c r="J1870" s="4"/>
      <c r="K1870" s="4"/>
      <c r="L1870" s="4"/>
      <c r="M1870" s="4"/>
      <c r="N1870" s="4"/>
      <c r="O1870" s="4"/>
    </row>
    <row r="1871" spans="1:15" x14ac:dyDescent="0.3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</row>
    <row r="1872" spans="1:15" x14ac:dyDescent="0.3">
      <c r="A1872" s="4" t="s">
        <v>980</v>
      </c>
      <c r="B1872" s="4" t="s">
        <v>49</v>
      </c>
      <c r="C1872" s="4" t="s">
        <v>12</v>
      </c>
      <c r="D1872" s="4">
        <v>25872060</v>
      </c>
      <c r="E1872" s="4">
        <v>10</v>
      </c>
      <c r="F1872" s="4" t="s">
        <v>1433</v>
      </c>
      <c r="G1872" s="4">
        <v>10</v>
      </c>
      <c r="H1872" s="4">
        <v>0</v>
      </c>
      <c r="I1872" s="4">
        <v>0</v>
      </c>
      <c r="J1872" s="4"/>
      <c r="K1872" s="4"/>
      <c r="L1872" s="4"/>
      <c r="M1872" s="4"/>
      <c r="N1872" s="4"/>
      <c r="O1872" s="4"/>
    </row>
    <row r="1873" spans="1:15" x14ac:dyDescent="0.3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</row>
    <row r="1874" spans="1:15" x14ac:dyDescent="0.3">
      <c r="A1874" s="4" t="s">
        <v>981</v>
      </c>
      <c r="B1874" s="4" t="s">
        <v>49</v>
      </c>
      <c r="C1874" s="4" t="s">
        <v>12</v>
      </c>
      <c r="D1874" s="4">
        <v>25872108</v>
      </c>
      <c r="E1874" s="4">
        <v>18</v>
      </c>
      <c r="F1874" s="4" t="s">
        <v>1433</v>
      </c>
      <c r="G1874" s="4">
        <v>18</v>
      </c>
      <c r="H1874" s="4">
        <v>0</v>
      </c>
      <c r="I1874" s="4">
        <v>0</v>
      </c>
      <c r="J1874" s="4"/>
      <c r="K1874" s="4"/>
      <c r="L1874" s="4"/>
      <c r="M1874" s="4"/>
      <c r="N1874" s="4"/>
      <c r="O1874" s="4"/>
    </row>
    <row r="1875" spans="1:15" x14ac:dyDescent="0.3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</row>
    <row r="1876" spans="1:15" x14ac:dyDescent="0.3">
      <c r="A1876" s="4" t="s">
        <v>982</v>
      </c>
      <c r="B1876" s="4" t="s">
        <v>49</v>
      </c>
      <c r="C1876" s="4" t="s">
        <v>12</v>
      </c>
      <c r="D1876" s="4">
        <v>25872222</v>
      </c>
      <c r="E1876" s="4">
        <v>10</v>
      </c>
      <c r="F1876" s="4" t="s">
        <v>1433</v>
      </c>
      <c r="G1876" s="4">
        <v>10</v>
      </c>
      <c r="H1876" s="4">
        <v>0</v>
      </c>
      <c r="I1876" s="4">
        <v>0</v>
      </c>
      <c r="J1876" s="4"/>
      <c r="K1876" s="4"/>
      <c r="L1876" s="4"/>
      <c r="M1876" s="4"/>
      <c r="N1876" s="4"/>
      <c r="O1876" s="4"/>
    </row>
    <row r="1877" spans="1:15" x14ac:dyDescent="0.3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</row>
    <row r="1878" spans="1:15" x14ac:dyDescent="0.3">
      <c r="A1878" s="4" t="s">
        <v>983</v>
      </c>
      <c r="B1878" s="4" t="s">
        <v>49</v>
      </c>
      <c r="C1878" s="4" t="s">
        <v>12</v>
      </c>
      <c r="D1878" s="4">
        <v>25872234</v>
      </c>
      <c r="E1878" s="4">
        <v>9</v>
      </c>
      <c r="F1878" s="4" t="s">
        <v>1433</v>
      </c>
      <c r="G1878" s="4">
        <v>9</v>
      </c>
      <c r="H1878" s="4">
        <v>0</v>
      </c>
      <c r="I1878" s="4">
        <v>0</v>
      </c>
      <c r="J1878" s="4"/>
      <c r="K1878" s="4"/>
      <c r="L1878" s="4"/>
      <c r="M1878" s="4"/>
      <c r="N1878" s="4"/>
      <c r="O1878" s="4"/>
    </row>
    <row r="1879" spans="1:15" x14ac:dyDescent="0.3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</row>
    <row r="1880" spans="1:15" x14ac:dyDescent="0.3">
      <c r="A1880" s="4" t="s">
        <v>984</v>
      </c>
      <c r="B1880" s="4" t="s">
        <v>49</v>
      </c>
      <c r="C1880" s="4" t="s">
        <v>12</v>
      </c>
      <c r="D1880" s="4">
        <v>25872312</v>
      </c>
      <c r="E1880" s="4">
        <v>11</v>
      </c>
      <c r="F1880" s="4" t="s">
        <v>1433</v>
      </c>
      <c r="G1880" s="4">
        <v>11</v>
      </c>
      <c r="H1880" s="4">
        <v>0</v>
      </c>
      <c r="I1880" s="4">
        <v>0</v>
      </c>
      <c r="J1880" s="4"/>
      <c r="K1880" s="4"/>
      <c r="L1880" s="4"/>
      <c r="M1880" s="4"/>
      <c r="N1880" s="4"/>
      <c r="O1880" s="4"/>
    </row>
    <row r="1881" spans="1:15" x14ac:dyDescent="0.3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</row>
    <row r="1882" spans="1:15" x14ac:dyDescent="0.3">
      <c r="A1882" s="4" t="s">
        <v>985</v>
      </c>
      <c r="B1882" s="4" t="s">
        <v>49</v>
      </c>
      <c r="C1882" s="4" t="s">
        <v>12</v>
      </c>
      <c r="D1882" s="4">
        <v>25872342</v>
      </c>
      <c r="E1882" s="4">
        <v>24</v>
      </c>
      <c r="F1882" s="4" t="s">
        <v>1433</v>
      </c>
      <c r="G1882" s="4">
        <v>24</v>
      </c>
      <c r="H1882" s="4">
        <v>0</v>
      </c>
      <c r="I1882" s="4">
        <v>0</v>
      </c>
      <c r="J1882" s="4"/>
      <c r="K1882" s="4"/>
      <c r="L1882" s="4"/>
      <c r="M1882" s="4"/>
      <c r="N1882" s="4"/>
      <c r="O1882" s="4"/>
    </row>
    <row r="1883" spans="1:15" x14ac:dyDescent="0.3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</row>
    <row r="1884" spans="1:15" x14ac:dyDescent="0.3">
      <c r="A1884" s="4" t="s">
        <v>986</v>
      </c>
      <c r="B1884" s="4" t="s">
        <v>49</v>
      </c>
      <c r="C1884" s="4" t="s">
        <v>12</v>
      </c>
      <c r="D1884" s="4">
        <v>25872438</v>
      </c>
      <c r="E1884" s="4">
        <v>12</v>
      </c>
      <c r="F1884" s="4" t="s">
        <v>1433</v>
      </c>
      <c r="G1884" s="4">
        <v>12</v>
      </c>
      <c r="H1884" s="4">
        <v>0</v>
      </c>
      <c r="I1884" s="4">
        <v>0</v>
      </c>
      <c r="J1884" s="4"/>
      <c r="K1884" s="4"/>
      <c r="L1884" s="4"/>
      <c r="M1884" s="4"/>
      <c r="N1884" s="4"/>
      <c r="O1884" s="4"/>
    </row>
    <row r="1885" spans="1:15" x14ac:dyDescent="0.3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</row>
    <row r="1886" spans="1:15" x14ac:dyDescent="0.3">
      <c r="A1886" s="4" t="s">
        <v>987</v>
      </c>
      <c r="B1886" s="4" t="s">
        <v>49</v>
      </c>
      <c r="C1886" s="4" t="s">
        <v>12</v>
      </c>
      <c r="D1886" s="4">
        <v>25872876</v>
      </c>
      <c r="E1886" s="4">
        <v>17</v>
      </c>
      <c r="F1886" s="4" t="s">
        <v>1433</v>
      </c>
      <c r="G1886" s="4">
        <v>17</v>
      </c>
      <c r="H1886" s="4">
        <v>0</v>
      </c>
      <c r="I1886" s="4">
        <v>0</v>
      </c>
      <c r="J1886" s="4"/>
      <c r="K1886" s="4"/>
      <c r="L1886" s="4"/>
      <c r="M1886" s="4"/>
      <c r="N1886" s="4"/>
      <c r="O1886" s="4"/>
    </row>
    <row r="1887" spans="1:15" x14ac:dyDescent="0.3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</row>
    <row r="1888" spans="1:15" x14ac:dyDescent="0.3">
      <c r="A1888" s="4" t="s">
        <v>988</v>
      </c>
      <c r="B1888" s="4" t="s">
        <v>49</v>
      </c>
      <c r="C1888" s="4" t="s">
        <v>12</v>
      </c>
      <c r="D1888" s="4">
        <v>25873350</v>
      </c>
      <c r="E1888" s="4">
        <v>15</v>
      </c>
      <c r="F1888" s="4" t="s">
        <v>1433</v>
      </c>
      <c r="G1888" s="4">
        <v>15</v>
      </c>
      <c r="H1888" s="4">
        <v>0</v>
      </c>
      <c r="I1888" s="4">
        <v>0</v>
      </c>
      <c r="J1888" s="4"/>
      <c r="K1888" s="4"/>
      <c r="L1888" s="4"/>
      <c r="M1888" s="4"/>
      <c r="N1888" s="4"/>
      <c r="O1888" s="4"/>
    </row>
    <row r="1889" spans="1:15" x14ac:dyDescent="0.3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</row>
    <row r="1890" spans="1:15" x14ac:dyDescent="0.3">
      <c r="A1890" s="4" t="s">
        <v>989</v>
      </c>
      <c r="B1890" s="4" t="s">
        <v>49</v>
      </c>
      <c r="C1890" s="4" t="s">
        <v>12</v>
      </c>
      <c r="D1890" s="4">
        <v>25873362</v>
      </c>
      <c r="E1890" s="4">
        <v>14</v>
      </c>
      <c r="F1890" s="4" t="s">
        <v>1433</v>
      </c>
      <c r="G1890" s="4">
        <v>14</v>
      </c>
      <c r="H1890" s="4">
        <v>0</v>
      </c>
      <c r="I1890" s="4">
        <v>0</v>
      </c>
      <c r="J1890" s="4"/>
      <c r="K1890" s="4"/>
      <c r="L1890" s="4"/>
      <c r="M1890" s="4"/>
      <c r="N1890" s="4"/>
      <c r="O1890" s="4"/>
    </row>
    <row r="1891" spans="1:15" x14ac:dyDescent="0.3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</row>
    <row r="1892" spans="1:15" x14ac:dyDescent="0.3">
      <c r="A1892" s="4" t="s">
        <v>990</v>
      </c>
      <c r="B1892" s="4" t="s">
        <v>49</v>
      </c>
      <c r="C1892" s="4" t="s">
        <v>12</v>
      </c>
      <c r="D1892" s="4">
        <v>25873650</v>
      </c>
      <c r="E1892" s="4">
        <v>53</v>
      </c>
      <c r="F1892" s="4" t="s">
        <v>1433</v>
      </c>
      <c r="G1892" s="4">
        <v>53</v>
      </c>
      <c r="H1892" s="4">
        <v>0</v>
      </c>
      <c r="I1892" s="4">
        <v>0</v>
      </c>
      <c r="J1892" s="4"/>
      <c r="K1892" s="4"/>
      <c r="L1892" s="4"/>
      <c r="M1892" s="4"/>
      <c r="N1892" s="4"/>
      <c r="O1892" s="4"/>
    </row>
    <row r="1893" spans="1:15" x14ac:dyDescent="0.3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</row>
    <row r="1894" spans="1:15" x14ac:dyDescent="0.3">
      <c r="A1894" s="4" t="s">
        <v>991</v>
      </c>
      <c r="B1894" s="4" t="s">
        <v>49</v>
      </c>
      <c r="C1894" s="4" t="s">
        <v>12</v>
      </c>
      <c r="D1894" s="4">
        <v>25873914</v>
      </c>
      <c r="E1894" s="4">
        <v>963</v>
      </c>
      <c r="F1894" s="4" t="s">
        <v>1433</v>
      </c>
      <c r="G1894" s="4">
        <v>963</v>
      </c>
      <c r="H1894" s="4">
        <v>0</v>
      </c>
      <c r="I1894" s="4">
        <v>0</v>
      </c>
      <c r="J1894" s="4"/>
      <c r="K1894" s="4"/>
      <c r="L1894" s="4"/>
      <c r="M1894" s="4"/>
      <c r="N1894" s="4"/>
      <c r="O1894" s="4"/>
    </row>
    <row r="1895" spans="1:15" x14ac:dyDescent="0.3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</row>
    <row r="1896" spans="1:15" x14ac:dyDescent="0.3">
      <c r="A1896" s="4" t="s">
        <v>992</v>
      </c>
      <c r="B1896" s="4" t="s">
        <v>49</v>
      </c>
      <c r="C1896" s="4" t="s">
        <v>12</v>
      </c>
      <c r="D1896" s="4">
        <v>25874004</v>
      </c>
      <c r="E1896" s="4">
        <v>12</v>
      </c>
      <c r="F1896" s="4" t="s">
        <v>1433</v>
      </c>
      <c r="G1896" s="4">
        <v>12</v>
      </c>
      <c r="H1896" s="4">
        <v>0</v>
      </c>
      <c r="I1896" s="4">
        <v>0</v>
      </c>
      <c r="J1896" s="4"/>
      <c r="K1896" s="4"/>
      <c r="L1896" s="4"/>
      <c r="M1896" s="4"/>
      <c r="N1896" s="4"/>
      <c r="O1896" s="4"/>
    </row>
    <row r="1897" spans="1:15" x14ac:dyDescent="0.3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</row>
    <row r="1898" spans="1:15" x14ac:dyDescent="0.3">
      <c r="A1898" s="4" t="s">
        <v>993</v>
      </c>
      <c r="B1898" s="4" t="s">
        <v>49</v>
      </c>
      <c r="C1898" s="4" t="s">
        <v>12</v>
      </c>
      <c r="D1898" s="4">
        <v>25874658</v>
      </c>
      <c r="E1898" s="4">
        <v>12</v>
      </c>
      <c r="F1898" s="4" t="s">
        <v>1433</v>
      </c>
      <c r="G1898" s="4">
        <v>12</v>
      </c>
      <c r="H1898" s="4">
        <v>0</v>
      </c>
      <c r="I1898" s="4">
        <v>0</v>
      </c>
      <c r="J1898" s="4"/>
      <c r="K1898" s="4"/>
      <c r="L1898" s="4"/>
      <c r="M1898" s="4"/>
      <c r="N1898" s="4"/>
      <c r="O1898" s="4"/>
    </row>
    <row r="1899" spans="1:15" x14ac:dyDescent="0.3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</row>
    <row r="1900" spans="1:15" x14ac:dyDescent="0.3">
      <c r="A1900" s="4" t="s">
        <v>994</v>
      </c>
      <c r="B1900" s="4" t="s">
        <v>49</v>
      </c>
      <c r="C1900" s="4" t="s">
        <v>12</v>
      </c>
      <c r="D1900" s="4">
        <v>25875114</v>
      </c>
      <c r="E1900" s="4">
        <v>13</v>
      </c>
      <c r="F1900" s="4" t="s">
        <v>1433</v>
      </c>
      <c r="G1900" s="4">
        <v>13</v>
      </c>
      <c r="H1900" s="4">
        <v>0</v>
      </c>
      <c r="I1900" s="4">
        <v>0</v>
      </c>
      <c r="J1900" s="4"/>
      <c r="K1900" s="4"/>
      <c r="L1900" s="4"/>
      <c r="M1900" s="4"/>
      <c r="N1900" s="4"/>
      <c r="O1900" s="4"/>
    </row>
    <row r="1901" spans="1:15" x14ac:dyDescent="0.3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</row>
    <row r="1902" spans="1:15" x14ac:dyDescent="0.3">
      <c r="A1902" s="4" t="s">
        <v>995</v>
      </c>
      <c r="B1902" s="4" t="s">
        <v>49</v>
      </c>
      <c r="C1902" s="4" t="s">
        <v>12</v>
      </c>
      <c r="D1902" s="4">
        <v>25875264</v>
      </c>
      <c r="E1902" s="4">
        <v>15</v>
      </c>
      <c r="F1902" s="4" t="s">
        <v>1433</v>
      </c>
      <c r="G1902" s="4">
        <v>15</v>
      </c>
      <c r="H1902" s="4">
        <v>0</v>
      </c>
      <c r="I1902" s="4">
        <v>0</v>
      </c>
      <c r="J1902" s="4"/>
      <c r="K1902" s="4"/>
      <c r="L1902" s="4"/>
      <c r="M1902" s="4"/>
      <c r="N1902" s="4"/>
      <c r="O1902" s="4"/>
    </row>
    <row r="1903" spans="1:15" x14ac:dyDescent="0.3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</row>
    <row r="1904" spans="1:15" x14ac:dyDescent="0.3">
      <c r="A1904" s="4" t="s">
        <v>996</v>
      </c>
      <c r="B1904" s="4" t="s">
        <v>49</v>
      </c>
      <c r="C1904" s="4" t="s">
        <v>12</v>
      </c>
      <c r="D1904" s="4">
        <v>25875576</v>
      </c>
      <c r="E1904" s="4">
        <v>31</v>
      </c>
      <c r="F1904" s="4" t="s">
        <v>1433</v>
      </c>
      <c r="G1904" s="4">
        <v>31</v>
      </c>
      <c r="H1904" s="4">
        <v>0</v>
      </c>
      <c r="I1904" s="4">
        <v>0</v>
      </c>
      <c r="J1904" s="4"/>
      <c r="K1904" s="4"/>
      <c r="L1904" s="4"/>
      <c r="M1904" s="4"/>
      <c r="N1904" s="4"/>
      <c r="O1904" s="4"/>
    </row>
    <row r="1905" spans="1:15" x14ac:dyDescent="0.3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</row>
    <row r="1906" spans="1:15" x14ac:dyDescent="0.3">
      <c r="A1906" s="4" t="s">
        <v>997</v>
      </c>
      <c r="B1906" s="4" t="s">
        <v>49</v>
      </c>
      <c r="C1906" s="4" t="s">
        <v>12</v>
      </c>
      <c r="D1906" s="4">
        <v>25875768</v>
      </c>
      <c r="E1906" s="4">
        <v>1</v>
      </c>
      <c r="F1906" s="4" t="s">
        <v>1433</v>
      </c>
      <c r="G1906" s="4">
        <v>1</v>
      </c>
      <c r="H1906" s="4">
        <v>0</v>
      </c>
      <c r="I1906" s="4">
        <v>0</v>
      </c>
      <c r="J1906" s="4"/>
      <c r="K1906" s="4"/>
      <c r="L1906" s="4"/>
      <c r="M1906" s="4"/>
      <c r="N1906" s="4"/>
      <c r="O1906" s="4"/>
    </row>
    <row r="1907" spans="1:15" x14ac:dyDescent="0.3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</row>
    <row r="1908" spans="1:15" x14ac:dyDescent="0.3">
      <c r="A1908" s="4" t="s">
        <v>998</v>
      </c>
      <c r="B1908" s="4" t="s">
        <v>49</v>
      </c>
      <c r="C1908" s="4" t="s">
        <v>12</v>
      </c>
      <c r="D1908" s="4">
        <v>25875798</v>
      </c>
      <c r="E1908" s="4">
        <v>15</v>
      </c>
      <c r="F1908" s="4" t="s">
        <v>1433</v>
      </c>
      <c r="G1908" s="4">
        <v>15</v>
      </c>
      <c r="H1908" s="4">
        <v>0</v>
      </c>
      <c r="I1908" s="4">
        <v>0</v>
      </c>
      <c r="J1908" s="4"/>
      <c r="K1908" s="4"/>
      <c r="L1908" s="4"/>
      <c r="M1908" s="4"/>
      <c r="N1908" s="4"/>
      <c r="O1908" s="4"/>
    </row>
    <row r="1909" spans="1:15" x14ac:dyDescent="0.3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</row>
    <row r="1910" spans="1:15" x14ac:dyDescent="0.3">
      <c r="A1910" s="4" t="s">
        <v>999</v>
      </c>
      <c r="B1910" s="4" t="s">
        <v>49</v>
      </c>
      <c r="C1910" s="4" t="s">
        <v>12</v>
      </c>
      <c r="D1910" s="4">
        <v>25876050</v>
      </c>
      <c r="E1910" s="4">
        <v>45</v>
      </c>
      <c r="F1910" s="4" t="s">
        <v>1433</v>
      </c>
      <c r="G1910" s="4">
        <v>45</v>
      </c>
      <c r="H1910" s="4">
        <v>0</v>
      </c>
      <c r="I1910" s="4">
        <v>0</v>
      </c>
      <c r="J1910" s="4"/>
      <c r="K1910" s="4"/>
      <c r="L1910" s="4"/>
      <c r="M1910" s="4"/>
      <c r="N1910" s="4"/>
      <c r="O1910" s="4"/>
    </row>
    <row r="1911" spans="1:15" x14ac:dyDescent="0.3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</row>
    <row r="1912" spans="1:15" x14ac:dyDescent="0.3">
      <c r="A1912" s="4" t="s">
        <v>1000</v>
      </c>
      <c r="B1912" s="4" t="s">
        <v>49</v>
      </c>
      <c r="C1912" s="4" t="s">
        <v>12</v>
      </c>
      <c r="D1912" s="4">
        <v>25876572</v>
      </c>
      <c r="E1912" s="4">
        <v>36</v>
      </c>
      <c r="F1912" s="4" t="s">
        <v>1433</v>
      </c>
      <c r="G1912" s="4">
        <v>36</v>
      </c>
      <c r="H1912" s="4">
        <v>0</v>
      </c>
      <c r="I1912" s="4">
        <v>0</v>
      </c>
      <c r="J1912" s="4"/>
      <c r="K1912" s="4"/>
      <c r="L1912" s="4"/>
      <c r="M1912" s="4"/>
      <c r="N1912" s="4"/>
      <c r="O1912" s="4"/>
    </row>
    <row r="1913" spans="1:15" x14ac:dyDescent="0.3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</row>
    <row r="1914" spans="1:15" x14ac:dyDescent="0.3">
      <c r="A1914" s="4" t="s">
        <v>1001</v>
      </c>
      <c r="B1914" s="4" t="s">
        <v>49</v>
      </c>
      <c r="C1914" s="4" t="s">
        <v>12</v>
      </c>
      <c r="D1914" s="4">
        <v>25877166</v>
      </c>
      <c r="E1914" s="4">
        <v>16</v>
      </c>
      <c r="F1914" s="4" t="s">
        <v>1433</v>
      </c>
      <c r="G1914" s="4">
        <v>16</v>
      </c>
      <c r="H1914" s="4">
        <v>0</v>
      </c>
      <c r="I1914" s="4">
        <v>0</v>
      </c>
      <c r="J1914" s="4"/>
      <c r="K1914" s="4"/>
      <c r="L1914" s="4"/>
      <c r="M1914" s="4"/>
      <c r="N1914" s="4"/>
      <c r="O1914" s="4"/>
    </row>
    <row r="1915" spans="1:15" x14ac:dyDescent="0.3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</row>
    <row r="1916" spans="1:15" x14ac:dyDescent="0.3">
      <c r="A1916" s="4" t="s">
        <v>1002</v>
      </c>
      <c r="B1916" s="4" t="s">
        <v>49</v>
      </c>
      <c r="C1916" s="4" t="s">
        <v>12</v>
      </c>
      <c r="D1916" s="4">
        <v>25877424</v>
      </c>
      <c r="E1916" s="4">
        <v>12</v>
      </c>
      <c r="F1916" s="4" t="s">
        <v>1433</v>
      </c>
      <c r="G1916" s="4">
        <v>12</v>
      </c>
      <c r="H1916" s="4">
        <v>0</v>
      </c>
      <c r="I1916" s="4">
        <v>0</v>
      </c>
      <c r="J1916" s="4"/>
      <c r="K1916" s="4"/>
      <c r="L1916" s="4"/>
      <c r="M1916" s="4"/>
      <c r="N1916" s="4"/>
      <c r="O1916" s="4"/>
    </row>
    <row r="1917" spans="1:15" x14ac:dyDescent="0.3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</row>
    <row r="1918" spans="1:15" x14ac:dyDescent="0.3">
      <c r="A1918" s="4" t="s">
        <v>1003</v>
      </c>
      <c r="B1918" s="4" t="s">
        <v>49</v>
      </c>
      <c r="C1918" s="4" t="s">
        <v>12</v>
      </c>
      <c r="D1918" s="4">
        <v>25877490</v>
      </c>
      <c r="E1918" s="4">
        <v>12</v>
      </c>
      <c r="F1918" s="4" t="s">
        <v>1433</v>
      </c>
      <c r="G1918" s="4">
        <v>12</v>
      </c>
      <c r="H1918" s="4">
        <v>0</v>
      </c>
      <c r="I1918" s="4">
        <v>0</v>
      </c>
      <c r="J1918" s="4"/>
      <c r="K1918" s="4"/>
      <c r="L1918" s="4"/>
      <c r="M1918" s="4"/>
      <c r="N1918" s="4"/>
      <c r="O1918" s="4"/>
    </row>
    <row r="1919" spans="1:15" x14ac:dyDescent="0.3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</row>
    <row r="1920" spans="1:15" x14ac:dyDescent="0.3">
      <c r="A1920" s="4" t="s">
        <v>1004</v>
      </c>
      <c r="B1920" s="4" t="s">
        <v>49</v>
      </c>
      <c r="C1920" s="4" t="s">
        <v>12</v>
      </c>
      <c r="D1920" s="4">
        <v>25877502</v>
      </c>
      <c r="E1920" s="4">
        <v>13</v>
      </c>
      <c r="F1920" s="4" t="s">
        <v>1433</v>
      </c>
      <c r="G1920" s="4">
        <v>13</v>
      </c>
      <c r="H1920" s="4">
        <v>0</v>
      </c>
      <c r="I1920" s="4">
        <v>0</v>
      </c>
      <c r="J1920" s="4"/>
      <c r="K1920" s="4"/>
      <c r="L1920" s="4"/>
      <c r="M1920" s="4"/>
      <c r="N1920" s="4"/>
      <c r="O1920" s="4"/>
    </row>
    <row r="1921" spans="1:15" x14ac:dyDescent="0.3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</row>
    <row r="1922" spans="1:15" x14ac:dyDescent="0.3">
      <c r="A1922" s="4" t="s">
        <v>1005</v>
      </c>
      <c r="B1922" s="4" t="s">
        <v>49</v>
      </c>
      <c r="C1922" s="4" t="s">
        <v>12</v>
      </c>
      <c r="D1922" s="4">
        <v>25877514</v>
      </c>
      <c r="E1922" s="4">
        <v>191</v>
      </c>
      <c r="F1922" s="4" t="s">
        <v>1433</v>
      </c>
      <c r="G1922" s="4">
        <v>191</v>
      </c>
      <c r="H1922" s="4">
        <v>0</v>
      </c>
      <c r="I1922" s="4">
        <v>0</v>
      </c>
      <c r="J1922" s="4"/>
      <c r="K1922" s="4"/>
      <c r="L1922" s="4"/>
      <c r="M1922" s="4"/>
      <c r="N1922" s="4"/>
      <c r="O1922" s="4"/>
    </row>
    <row r="1923" spans="1:15" x14ac:dyDescent="0.3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</row>
    <row r="1924" spans="1:15" x14ac:dyDescent="0.3">
      <c r="A1924" s="4" t="s">
        <v>1006</v>
      </c>
      <c r="B1924" s="4" t="s">
        <v>49</v>
      </c>
      <c r="C1924" s="4" t="s">
        <v>12</v>
      </c>
      <c r="D1924" s="4">
        <v>25877604</v>
      </c>
      <c r="E1924" s="4">
        <v>35</v>
      </c>
      <c r="F1924" s="4" t="s">
        <v>1433</v>
      </c>
      <c r="G1924" s="4">
        <v>35</v>
      </c>
      <c r="H1924" s="4">
        <v>0</v>
      </c>
      <c r="I1924" s="4">
        <v>0</v>
      </c>
      <c r="J1924" s="4"/>
      <c r="K1924" s="4"/>
      <c r="L1924" s="4"/>
      <c r="M1924" s="4"/>
      <c r="N1924" s="4"/>
      <c r="O1924" s="4"/>
    </row>
    <row r="1925" spans="1:15" x14ac:dyDescent="0.3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</row>
    <row r="1926" spans="1:15" x14ac:dyDescent="0.3">
      <c r="A1926" s="4" t="s">
        <v>1007</v>
      </c>
      <c r="B1926" s="4" t="s">
        <v>49</v>
      </c>
      <c r="C1926" s="4" t="s">
        <v>12</v>
      </c>
      <c r="D1926" s="4">
        <v>25877790</v>
      </c>
      <c r="E1926" s="4">
        <v>16</v>
      </c>
      <c r="F1926" s="4" t="s">
        <v>1433</v>
      </c>
      <c r="G1926" s="4">
        <v>16</v>
      </c>
      <c r="H1926" s="4">
        <v>0</v>
      </c>
      <c r="I1926" s="4">
        <v>0</v>
      </c>
      <c r="J1926" s="4"/>
      <c r="K1926" s="4"/>
      <c r="L1926" s="4"/>
      <c r="M1926" s="4"/>
      <c r="N1926" s="4"/>
      <c r="O1926" s="4"/>
    </row>
    <row r="1927" spans="1:15" x14ac:dyDescent="0.3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</row>
    <row r="1928" spans="1:15" x14ac:dyDescent="0.3">
      <c r="A1928" s="4" t="s">
        <v>1008</v>
      </c>
      <c r="B1928" s="4" t="s">
        <v>49</v>
      </c>
      <c r="C1928" s="4" t="s">
        <v>12</v>
      </c>
      <c r="D1928" s="4">
        <v>25877868</v>
      </c>
      <c r="E1928" s="4">
        <v>30</v>
      </c>
      <c r="F1928" s="4" t="s">
        <v>1433</v>
      </c>
      <c r="G1928" s="4">
        <v>30</v>
      </c>
      <c r="H1928" s="4">
        <v>0</v>
      </c>
      <c r="I1928" s="4">
        <v>0</v>
      </c>
      <c r="J1928" s="4"/>
      <c r="K1928" s="4"/>
      <c r="L1928" s="4"/>
      <c r="M1928" s="4"/>
      <c r="N1928" s="4"/>
      <c r="O1928" s="4"/>
    </row>
    <row r="1929" spans="1:15" x14ac:dyDescent="0.3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</row>
    <row r="1930" spans="1:15" x14ac:dyDescent="0.3">
      <c r="A1930" s="4" t="s">
        <v>1009</v>
      </c>
      <c r="B1930" s="4" t="s">
        <v>49</v>
      </c>
      <c r="C1930" s="4" t="s">
        <v>12</v>
      </c>
      <c r="D1930" s="4">
        <v>25878054</v>
      </c>
      <c r="E1930" s="4">
        <v>56</v>
      </c>
      <c r="F1930" s="4" t="s">
        <v>1433</v>
      </c>
      <c r="G1930" s="4">
        <v>56</v>
      </c>
      <c r="H1930" s="4">
        <v>0</v>
      </c>
      <c r="I1930" s="4">
        <v>0</v>
      </c>
      <c r="J1930" s="4"/>
      <c r="K1930" s="4"/>
      <c r="L1930" s="4"/>
      <c r="M1930" s="4"/>
      <c r="N1930" s="4"/>
      <c r="O1930" s="4"/>
    </row>
    <row r="1931" spans="1:15" x14ac:dyDescent="0.3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</row>
    <row r="1932" spans="1:15" x14ac:dyDescent="0.3">
      <c r="A1932" s="4" t="s">
        <v>1010</v>
      </c>
      <c r="B1932" s="4" t="s">
        <v>49</v>
      </c>
      <c r="C1932" s="4" t="s">
        <v>12</v>
      </c>
      <c r="D1932" s="4">
        <v>25878192</v>
      </c>
      <c r="E1932" s="4">
        <v>16</v>
      </c>
      <c r="F1932" s="4" t="s">
        <v>1433</v>
      </c>
      <c r="G1932" s="4">
        <v>16</v>
      </c>
      <c r="H1932" s="4">
        <v>0</v>
      </c>
      <c r="I1932" s="4">
        <v>0</v>
      </c>
      <c r="J1932" s="4"/>
      <c r="K1932" s="4"/>
      <c r="L1932" s="4"/>
      <c r="M1932" s="4"/>
      <c r="N1932" s="4"/>
      <c r="O1932" s="4"/>
    </row>
    <row r="1933" spans="1:15" x14ac:dyDescent="0.3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</row>
    <row r="1934" spans="1:15" x14ac:dyDescent="0.3">
      <c r="A1934" s="4" t="s">
        <v>1011</v>
      </c>
      <c r="B1934" s="4" t="s">
        <v>49</v>
      </c>
      <c r="C1934" s="4" t="s">
        <v>12</v>
      </c>
      <c r="D1934" s="4">
        <v>25879080</v>
      </c>
      <c r="E1934" s="4">
        <v>9</v>
      </c>
      <c r="F1934" s="4" t="s">
        <v>1433</v>
      </c>
      <c r="G1934" s="4">
        <v>9</v>
      </c>
      <c r="H1934" s="4">
        <v>0</v>
      </c>
      <c r="I1934" s="4">
        <v>0</v>
      </c>
      <c r="J1934" s="4"/>
      <c r="K1934" s="4"/>
      <c r="L1934" s="4"/>
      <c r="M1934" s="4"/>
      <c r="N1934" s="4"/>
      <c r="O1934" s="4"/>
    </row>
    <row r="1935" spans="1:15" x14ac:dyDescent="0.3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</row>
    <row r="1936" spans="1:15" x14ac:dyDescent="0.3">
      <c r="A1936" s="4" t="s">
        <v>1012</v>
      </c>
      <c r="B1936" s="4" t="s">
        <v>49</v>
      </c>
      <c r="C1936" s="4" t="s">
        <v>12</v>
      </c>
      <c r="D1936" s="4">
        <v>25879092</v>
      </c>
      <c r="E1936" s="4">
        <v>16</v>
      </c>
      <c r="F1936" s="4" t="s">
        <v>1433</v>
      </c>
      <c r="G1936" s="4">
        <v>16</v>
      </c>
      <c r="H1936" s="4">
        <v>0</v>
      </c>
      <c r="I1936" s="4">
        <v>0</v>
      </c>
      <c r="J1936" s="4"/>
      <c r="K1936" s="4"/>
      <c r="L1936" s="4"/>
      <c r="M1936" s="4"/>
      <c r="N1936" s="4"/>
      <c r="O1936" s="4"/>
    </row>
    <row r="1937" spans="1:15" x14ac:dyDescent="0.3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</row>
    <row r="1938" spans="1:15" x14ac:dyDescent="0.3">
      <c r="A1938" s="4" t="s">
        <v>1013</v>
      </c>
      <c r="B1938" s="4" t="s">
        <v>49</v>
      </c>
      <c r="C1938" s="4" t="s">
        <v>12</v>
      </c>
      <c r="D1938" s="4">
        <v>25879230</v>
      </c>
      <c r="E1938" s="4">
        <v>8</v>
      </c>
      <c r="F1938" s="4" t="s">
        <v>1433</v>
      </c>
      <c r="G1938" s="4">
        <v>8</v>
      </c>
      <c r="H1938" s="4">
        <v>0</v>
      </c>
      <c r="I1938" s="4">
        <v>0</v>
      </c>
      <c r="J1938" s="4"/>
      <c r="K1938" s="4"/>
      <c r="L1938" s="4"/>
      <c r="M1938" s="4"/>
      <c r="N1938" s="4"/>
      <c r="O1938" s="4"/>
    </row>
    <row r="1939" spans="1:15" x14ac:dyDescent="0.3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</row>
    <row r="1940" spans="1:15" x14ac:dyDescent="0.3">
      <c r="A1940" s="4" t="s">
        <v>1014</v>
      </c>
      <c r="B1940" s="4" t="s">
        <v>49</v>
      </c>
      <c r="C1940" s="4" t="s">
        <v>12</v>
      </c>
      <c r="D1940" s="4">
        <v>25879320</v>
      </c>
      <c r="E1940" s="4">
        <v>53</v>
      </c>
      <c r="F1940" s="4" t="s">
        <v>1433</v>
      </c>
      <c r="G1940" s="4">
        <v>53</v>
      </c>
      <c r="H1940" s="4">
        <v>0</v>
      </c>
      <c r="I1940" s="4">
        <v>0</v>
      </c>
      <c r="J1940" s="4"/>
      <c r="K1940" s="4"/>
      <c r="L1940" s="4"/>
      <c r="M1940" s="4"/>
      <c r="N1940" s="4"/>
      <c r="O1940" s="4"/>
    </row>
    <row r="1941" spans="1:15" x14ac:dyDescent="0.3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</row>
    <row r="1942" spans="1:15" x14ac:dyDescent="0.3">
      <c r="A1942" s="4" t="s">
        <v>1015</v>
      </c>
      <c r="B1942" s="4" t="s">
        <v>49</v>
      </c>
      <c r="C1942" s="4" t="s">
        <v>12</v>
      </c>
      <c r="D1942" s="4">
        <v>25879452</v>
      </c>
      <c r="E1942" s="4">
        <v>72</v>
      </c>
      <c r="F1942" s="4" t="s">
        <v>1433</v>
      </c>
      <c r="G1942" s="4">
        <v>72</v>
      </c>
      <c r="H1942" s="4">
        <v>0</v>
      </c>
      <c r="I1942" s="4">
        <v>0</v>
      </c>
      <c r="J1942" s="4"/>
      <c r="K1942" s="4"/>
      <c r="L1942" s="4"/>
      <c r="M1942" s="4"/>
      <c r="N1942" s="4"/>
      <c r="O1942" s="4"/>
    </row>
    <row r="1943" spans="1:15" x14ac:dyDescent="0.3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</row>
    <row r="1944" spans="1:15" x14ac:dyDescent="0.3">
      <c r="A1944" s="4" t="s">
        <v>1016</v>
      </c>
      <c r="B1944" s="4" t="s">
        <v>49</v>
      </c>
      <c r="C1944" s="4" t="s">
        <v>12</v>
      </c>
      <c r="D1944" s="4">
        <v>25879818</v>
      </c>
      <c r="E1944" s="4">
        <v>48</v>
      </c>
      <c r="F1944" s="4" t="s">
        <v>1433</v>
      </c>
      <c r="G1944" s="4">
        <v>48</v>
      </c>
      <c r="H1944" s="4">
        <v>0</v>
      </c>
      <c r="I1944" s="4">
        <v>0</v>
      </c>
      <c r="J1944" s="4"/>
      <c r="K1944" s="4"/>
      <c r="L1944" s="4"/>
      <c r="M1944" s="4"/>
      <c r="N1944" s="4"/>
      <c r="O1944" s="4"/>
    </row>
    <row r="1945" spans="1:15" x14ac:dyDescent="0.3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</row>
    <row r="1946" spans="1:15" x14ac:dyDescent="0.3">
      <c r="A1946" s="4" t="s">
        <v>1017</v>
      </c>
      <c r="B1946" s="4" t="s">
        <v>49</v>
      </c>
      <c r="C1946" s="4" t="s">
        <v>12</v>
      </c>
      <c r="D1946" s="4">
        <v>25880070</v>
      </c>
      <c r="E1946" s="4">
        <v>86</v>
      </c>
      <c r="F1946" s="4" t="s">
        <v>1433</v>
      </c>
      <c r="G1946" s="4">
        <v>86</v>
      </c>
      <c r="H1946" s="4">
        <v>0</v>
      </c>
      <c r="I1946" s="4">
        <v>0</v>
      </c>
      <c r="J1946" s="4"/>
      <c r="K1946" s="4"/>
      <c r="L1946" s="4"/>
      <c r="M1946" s="4"/>
      <c r="N1946" s="4"/>
      <c r="O1946" s="4"/>
    </row>
    <row r="1947" spans="1:15" x14ac:dyDescent="0.3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</row>
    <row r="1948" spans="1:15" x14ac:dyDescent="0.3">
      <c r="A1948" s="4" t="s">
        <v>1018</v>
      </c>
      <c r="B1948" s="4" t="s">
        <v>49</v>
      </c>
      <c r="C1948" s="4" t="s">
        <v>12</v>
      </c>
      <c r="D1948" s="4">
        <v>25880166</v>
      </c>
      <c r="E1948" s="4">
        <v>10</v>
      </c>
      <c r="F1948" s="4" t="s">
        <v>1433</v>
      </c>
      <c r="G1948" s="4">
        <v>10</v>
      </c>
      <c r="H1948" s="4">
        <v>0</v>
      </c>
      <c r="I1948" s="4">
        <v>0</v>
      </c>
      <c r="J1948" s="4"/>
      <c r="K1948" s="4"/>
      <c r="L1948" s="4"/>
      <c r="M1948" s="4"/>
      <c r="N1948" s="4"/>
      <c r="O1948" s="4"/>
    </row>
    <row r="1949" spans="1:15" x14ac:dyDescent="0.3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</row>
    <row r="1950" spans="1:15" x14ac:dyDescent="0.3">
      <c r="A1950" s="4" t="s">
        <v>1019</v>
      </c>
      <c r="B1950" s="4" t="s">
        <v>49</v>
      </c>
      <c r="C1950" s="4" t="s">
        <v>12</v>
      </c>
      <c r="D1950" s="4">
        <v>25880304</v>
      </c>
      <c r="E1950" s="4">
        <v>7</v>
      </c>
      <c r="F1950" s="4" t="s">
        <v>1433</v>
      </c>
      <c r="G1950" s="4">
        <v>7</v>
      </c>
      <c r="H1950" s="4">
        <v>0</v>
      </c>
      <c r="I1950" s="4">
        <v>0</v>
      </c>
      <c r="J1950" s="4"/>
      <c r="K1950" s="4"/>
      <c r="L1950" s="4"/>
      <c r="M1950" s="4"/>
      <c r="N1950" s="4"/>
      <c r="O1950" s="4"/>
    </row>
    <row r="1951" spans="1:15" x14ac:dyDescent="0.3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</row>
    <row r="1952" spans="1:15" x14ac:dyDescent="0.3">
      <c r="A1952" s="4" t="s">
        <v>1020</v>
      </c>
      <c r="B1952" s="4" t="s">
        <v>49</v>
      </c>
      <c r="C1952" s="4" t="s">
        <v>12</v>
      </c>
      <c r="D1952" s="4">
        <v>25880322</v>
      </c>
      <c r="E1952" s="4">
        <v>19</v>
      </c>
      <c r="F1952" s="4" t="s">
        <v>1433</v>
      </c>
      <c r="G1952" s="4">
        <v>19</v>
      </c>
      <c r="H1952" s="4">
        <v>0</v>
      </c>
      <c r="I1952" s="4">
        <v>0</v>
      </c>
      <c r="J1952" s="4"/>
      <c r="K1952" s="4"/>
      <c r="L1952" s="4"/>
      <c r="M1952" s="4"/>
      <c r="N1952" s="4"/>
      <c r="O1952" s="4"/>
    </row>
    <row r="1953" spans="1:15" x14ac:dyDescent="0.3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</row>
    <row r="1954" spans="1:15" x14ac:dyDescent="0.3">
      <c r="A1954" s="4" t="s">
        <v>1021</v>
      </c>
      <c r="B1954" s="4" t="s">
        <v>49</v>
      </c>
      <c r="C1954" s="4" t="s">
        <v>12</v>
      </c>
      <c r="D1954" s="4">
        <v>25880400</v>
      </c>
      <c r="E1954" s="4">
        <v>21</v>
      </c>
      <c r="F1954" s="4" t="s">
        <v>1433</v>
      </c>
      <c r="G1954" s="4">
        <v>21</v>
      </c>
      <c r="H1954" s="4">
        <v>0</v>
      </c>
      <c r="I1954" s="4">
        <v>0</v>
      </c>
      <c r="J1954" s="4"/>
      <c r="K1954" s="4"/>
      <c r="L1954" s="4"/>
      <c r="M1954" s="4"/>
      <c r="N1954" s="4"/>
      <c r="O1954" s="4"/>
    </row>
    <row r="1955" spans="1:15" x14ac:dyDescent="0.3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</row>
    <row r="1956" spans="1:15" x14ac:dyDescent="0.3">
      <c r="A1956" s="4" t="s">
        <v>1022</v>
      </c>
      <c r="B1956" s="4" t="s">
        <v>49</v>
      </c>
      <c r="C1956" s="4" t="s">
        <v>12</v>
      </c>
      <c r="D1956" s="4">
        <v>25880520</v>
      </c>
      <c r="E1956" s="4">
        <v>9</v>
      </c>
      <c r="F1956" s="4" t="s">
        <v>1433</v>
      </c>
      <c r="G1956" s="4">
        <v>9</v>
      </c>
      <c r="H1956" s="4">
        <v>0</v>
      </c>
      <c r="I1956" s="4">
        <v>0</v>
      </c>
      <c r="J1956" s="4"/>
      <c r="K1956" s="4"/>
      <c r="L1956" s="4"/>
      <c r="M1956" s="4"/>
      <c r="N1956" s="4"/>
      <c r="O1956" s="4"/>
    </row>
    <row r="1957" spans="1:15" x14ac:dyDescent="0.3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</row>
    <row r="1958" spans="1:15" x14ac:dyDescent="0.3">
      <c r="A1958" s="4" t="s">
        <v>1023</v>
      </c>
      <c r="B1958" s="4" t="s">
        <v>49</v>
      </c>
      <c r="C1958" s="4" t="s">
        <v>12</v>
      </c>
      <c r="D1958" s="4">
        <v>25880562</v>
      </c>
      <c r="E1958" s="4">
        <v>36</v>
      </c>
      <c r="F1958" s="4" t="s">
        <v>1433</v>
      </c>
      <c r="G1958" s="4">
        <v>36</v>
      </c>
      <c r="H1958" s="4">
        <v>0</v>
      </c>
      <c r="I1958" s="4">
        <v>0</v>
      </c>
      <c r="J1958" s="4"/>
      <c r="K1958" s="4"/>
      <c r="L1958" s="4"/>
      <c r="M1958" s="4"/>
      <c r="N1958" s="4"/>
      <c r="O1958" s="4"/>
    </row>
    <row r="1959" spans="1:15" x14ac:dyDescent="0.3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</row>
    <row r="1960" spans="1:15" x14ac:dyDescent="0.3">
      <c r="A1960" s="4" t="s">
        <v>1024</v>
      </c>
      <c r="B1960" s="4" t="s">
        <v>49</v>
      </c>
      <c r="C1960" s="4" t="s">
        <v>12</v>
      </c>
      <c r="D1960" s="4">
        <v>25880574</v>
      </c>
      <c r="E1960" s="4">
        <v>37</v>
      </c>
      <c r="F1960" s="4" t="s">
        <v>1433</v>
      </c>
      <c r="G1960" s="4">
        <v>37</v>
      </c>
      <c r="H1960" s="4">
        <v>0</v>
      </c>
      <c r="I1960" s="4">
        <v>0</v>
      </c>
      <c r="J1960" s="4"/>
      <c r="K1960" s="4"/>
      <c r="L1960" s="4"/>
      <c r="M1960" s="4"/>
      <c r="N1960" s="4"/>
      <c r="O1960" s="4"/>
    </row>
    <row r="1961" spans="1:15" x14ac:dyDescent="0.3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</row>
    <row r="1962" spans="1:15" x14ac:dyDescent="0.3">
      <c r="A1962" s="4" t="s">
        <v>1025</v>
      </c>
      <c r="B1962" s="4" t="s">
        <v>49</v>
      </c>
      <c r="C1962" s="4" t="s">
        <v>12</v>
      </c>
      <c r="D1962" s="4">
        <v>25880646</v>
      </c>
      <c r="E1962" s="4">
        <v>100</v>
      </c>
      <c r="F1962" s="4" t="s">
        <v>1433</v>
      </c>
      <c r="G1962" s="4">
        <v>100</v>
      </c>
      <c r="H1962" s="4">
        <v>0</v>
      </c>
      <c r="I1962" s="4">
        <v>0</v>
      </c>
      <c r="J1962" s="4"/>
      <c r="K1962" s="4"/>
      <c r="L1962" s="4"/>
      <c r="M1962" s="4"/>
      <c r="N1962" s="4"/>
      <c r="O1962" s="4"/>
    </row>
    <row r="1963" spans="1:15" x14ac:dyDescent="0.3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</row>
    <row r="1964" spans="1:15" x14ac:dyDescent="0.3">
      <c r="A1964" s="4" t="s">
        <v>1026</v>
      </c>
      <c r="B1964" s="4" t="s">
        <v>49</v>
      </c>
      <c r="C1964" s="4" t="s">
        <v>12</v>
      </c>
      <c r="D1964" s="4">
        <v>25881138</v>
      </c>
      <c r="E1964" s="4">
        <v>35</v>
      </c>
      <c r="F1964" s="4" t="s">
        <v>1433</v>
      </c>
      <c r="G1964" s="4">
        <v>35</v>
      </c>
      <c r="H1964" s="4">
        <v>0</v>
      </c>
      <c r="I1964" s="4">
        <v>0</v>
      </c>
      <c r="J1964" s="4"/>
      <c r="K1964" s="4"/>
      <c r="L1964" s="4"/>
      <c r="M1964" s="4"/>
      <c r="N1964" s="4"/>
      <c r="O1964" s="4"/>
    </row>
    <row r="1965" spans="1:15" x14ac:dyDescent="0.3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</row>
    <row r="1966" spans="1:15" x14ac:dyDescent="0.3">
      <c r="A1966" s="4" t="s">
        <v>1027</v>
      </c>
      <c r="B1966" s="4" t="s">
        <v>49</v>
      </c>
      <c r="C1966" s="4" t="s">
        <v>12</v>
      </c>
      <c r="D1966" s="4">
        <v>25881606</v>
      </c>
      <c r="E1966" s="4">
        <v>8</v>
      </c>
      <c r="F1966" s="4" t="s">
        <v>1433</v>
      </c>
      <c r="G1966" s="4">
        <v>8</v>
      </c>
      <c r="H1966" s="4">
        <v>0</v>
      </c>
      <c r="I1966" s="4">
        <v>0</v>
      </c>
      <c r="J1966" s="4"/>
      <c r="K1966" s="4"/>
      <c r="L1966" s="4"/>
      <c r="M1966" s="4"/>
      <c r="N1966" s="4"/>
      <c r="O1966" s="4"/>
    </row>
    <row r="1967" spans="1:15" x14ac:dyDescent="0.3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</row>
    <row r="1968" spans="1:15" x14ac:dyDescent="0.3">
      <c r="A1968" s="4" t="s">
        <v>1028</v>
      </c>
      <c r="B1968" s="4" t="s">
        <v>49</v>
      </c>
      <c r="C1968" s="4" t="s">
        <v>12</v>
      </c>
      <c r="D1968" s="4">
        <v>25881924</v>
      </c>
      <c r="E1968" s="4">
        <v>334</v>
      </c>
      <c r="F1968" s="4" t="s">
        <v>1433</v>
      </c>
      <c r="G1968" s="4">
        <v>334</v>
      </c>
      <c r="H1968" s="4">
        <v>0</v>
      </c>
      <c r="I1968" s="4">
        <v>0</v>
      </c>
      <c r="J1968" s="4"/>
      <c r="K1968" s="4"/>
      <c r="L1968" s="4"/>
      <c r="M1968" s="4"/>
      <c r="N1968" s="4"/>
      <c r="O1968" s="4"/>
    </row>
    <row r="1969" spans="1:15" x14ac:dyDescent="0.3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</row>
    <row r="1970" spans="1:15" x14ac:dyDescent="0.3">
      <c r="A1970" s="4" t="s">
        <v>1029</v>
      </c>
      <c r="B1970" s="4" t="s">
        <v>49</v>
      </c>
      <c r="C1970" s="4" t="s">
        <v>12</v>
      </c>
      <c r="D1970" s="4">
        <v>25881942</v>
      </c>
      <c r="E1970" s="4">
        <v>13</v>
      </c>
      <c r="F1970" s="4" t="s">
        <v>1433</v>
      </c>
      <c r="G1970" s="4">
        <v>13</v>
      </c>
      <c r="H1970" s="4">
        <v>0</v>
      </c>
      <c r="I1970" s="4">
        <v>0</v>
      </c>
      <c r="J1970" s="4"/>
      <c r="K1970" s="4"/>
      <c r="L1970" s="4"/>
      <c r="M1970" s="4"/>
      <c r="N1970" s="4"/>
      <c r="O1970" s="4"/>
    </row>
    <row r="1971" spans="1:15" x14ac:dyDescent="0.3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</row>
    <row r="1972" spans="1:15" x14ac:dyDescent="0.3">
      <c r="A1972" s="4" t="s">
        <v>1030</v>
      </c>
      <c r="B1972" s="4" t="s">
        <v>49</v>
      </c>
      <c r="C1972" s="4" t="s">
        <v>12</v>
      </c>
      <c r="D1972" s="4">
        <v>25882866</v>
      </c>
      <c r="E1972" s="4">
        <v>13</v>
      </c>
      <c r="F1972" s="4" t="s">
        <v>1433</v>
      </c>
      <c r="G1972" s="4">
        <v>13</v>
      </c>
      <c r="H1972" s="4">
        <v>0</v>
      </c>
      <c r="I1972" s="4">
        <v>0</v>
      </c>
      <c r="J1972" s="4"/>
      <c r="K1972" s="4"/>
      <c r="L1972" s="4"/>
      <c r="M1972" s="4"/>
      <c r="N1972" s="4"/>
      <c r="O1972" s="4"/>
    </row>
    <row r="1973" spans="1:15" x14ac:dyDescent="0.3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</row>
    <row r="1974" spans="1:15" x14ac:dyDescent="0.3">
      <c r="A1974" s="4" t="s">
        <v>1031</v>
      </c>
      <c r="B1974" s="4" t="s">
        <v>49</v>
      </c>
      <c r="C1974" s="4" t="s">
        <v>12</v>
      </c>
      <c r="D1974" s="4">
        <v>25883106</v>
      </c>
      <c r="E1974" s="4">
        <v>12</v>
      </c>
      <c r="F1974" s="4" t="s">
        <v>1433</v>
      </c>
      <c r="G1974" s="4">
        <v>12</v>
      </c>
      <c r="H1974" s="4">
        <v>0</v>
      </c>
      <c r="I1974" s="4">
        <v>0</v>
      </c>
      <c r="J1974" s="4"/>
      <c r="K1974" s="4"/>
      <c r="L1974" s="4"/>
      <c r="M1974" s="4"/>
      <c r="N1974" s="4"/>
      <c r="O1974" s="4"/>
    </row>
    <row r="1975" spans="1:15" x14ac:dyDescent="0.3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</row>
    <row r="1976" spans="1:15" x14ac:dyDescent="0.3">
      <c r="A1976" s="4" t="s">
        <v>1032</v>
      </c>
      <c r="B1976" s="4" t="s">
        <v>49</v>
      </c>
      <c r="C1976" s="4" t="s">
        <v>12</v>
      </c>
      <c r="D1976" s="4">
        <v>25883202</v>
      </c>
      <c r="E1976" s="4">
        <v>62</v>
      </c>
      <c r="F1976" s="4" t="s">
        <v>1433</v>
      </c>
      <c r="G1976" s="4">
        <v>62</v>
      </c>
      <c r="H1976" s="4">
        <v>0</v>
      </c>
      <c r="I1976" s="4">
        <v>0</v>
      </c>
      <c r="J1976" s="4"/>
      <c r="K1976" s="4"/>
      <c r="L1976" s="4"/>
      <c r="M1976" s="4"/>
      <c r="N1976" s="4"/>
      <c r="O1976" s="4"/>
    </row>
    <row r="1977" spans="1:15" x14ac:dyDescent="0.3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</row>
    <row r="1978" spans="1:15" x14ac:dyDescent="0.3">
      <c r="A1978" s="4" t="s">
        <v>1033</v>
      </c>
      <c r="B1978" s="4" t="s">
        <v>49</v>
      </c>
      <c r="C1978" s="4" t="s">
        <v>12</v>
      </c>
      <c r="D1978" s="4">
        <v>25883490</v>
      </c>
      <c r="E1978" s="4">
        <v>13</v>
      </c>
      <c r="F1978" s="4" t="s">
        <v>1433</v>
      </c>
      <c r="G1978" s="4">
        <v>13</v>
      </c>
      <c r="H1978" s="4">
        <v>0</v>
      </c>
      <c r="I1978" s="4">
        <v>0</v>
      </c>
      <c r="J1978" s="4"/>
      <c r="K1978" s="4"/>
      <c r="L1978" s="4"/>
      <c r="M1978" s="4"/>
      <c r="N1978" s="4"/>
      <c r="O1978" s="4"/>
    </row>
    <row r="1979" spans="1:15" x14ac:dyDescent="0.3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</row>
    <row r="1980" spans="1:15" x14ac:dyDescent="0.3">
      <c r="A1980" s="4" t="s">
        <v>1034</v>
      </c>
      <c r="B1980" s="4" t="s">
        <v>49</v>
      </c>
      <c r="C1980" s="4" t="s">
        <v>12</v>
      </c>
      <c r="D1980" s="4">
        <v>25883616</v>
      </c>
      <c r="E1980" s="4">
        <v>21</v>
      </c>
      <c r="F1980" s="4" t="s">
        <v>1433</v>
      </c>
      <c r="G1980" s="4">
        <v>21</v>
      </c>
      <c r="H1980" s="4">
        <v>0</v>
      </c>
      <c r="I1980" s="4">
        <v>0</v>
      </c>
      <c r="J1980" s="4"/>
      <c r="K1980" s="4"/>
      <c r="L1980" s="4"/>
      <c r="M1980" s="4"/>
      <c r="N1980" s="4"/>
      <c r="O1980" s="4"/>
    </row>
    <row r="1981" spans="1:15" x14ac:dyDescent="0.3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</row>
    <row r="1982" spans="1:15" x14ac:dyDescent="0.3">
      <c r="A1982" s="4" t="s">
        <v>1035</v>
      </c>
      <c r="B1982" s="4" t="s">
        <v>49</v>
      </c>
      <c r="C1982" s="4" t="s">
        <v>12</v>
      </c>
      <c r="D1982" s="4">
        <v>25884108</v>
      </c>
      <c r="E1982" s="4">
        <v>15</v>
      </c>
      <c r="F1982" s="4" t="s">
        <v>1433</v>
      </c>
      <c r="G1982" s="4">
        <v>15</v>
      </c>
      <c r="H1982" s="4">
        <v>0</v>
      </c>
      <c r="I1982" s="4">
        <v>0</v>
      </c>
      <c r="J1982" s="4"/>
      <c r="K1982" s="4"/>
      <c r="L1982" s="4"/>
      <c r="M1982" s="4"/>
      <c r="N1982" s="4"/>
      <c r="O1982" s="4"/>
    </row>
    <row r="1983" spans="1:15" x14ac:dyDescent="0.3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</row>
    <row r="1984" spans="1:15" x14ac:dyDescent="0.3">
      <c r="A1984" s="4" t="s">
        <v>1036</v>
      </c>
      <c r="B1984" s="4" t="s">
        <v>49</v>
      </c>
      <c r="C1984" s="4" t="s">
        <v>12</v>
      </c>
      <c r="D1984" s="4">
        <v>25884246</v>
      </c>
      <c r="E1984" s="4">
        <v>38</v>
      </c>
      <c r="F1984" s="4" t="s">
        <v>1433</v>
      </c>
      <c r="G1984" s="4">
        <v>38</v>
      </c>
      <c r="H1984" s="4">
        <v>0</v>
      </c>
      <c r="I1984" s="4">
        <v>0</v>
      </c>
      <c r="J1984" s="4"/>
      <c r="K1984" s="4"/>
      <c r="L1984" s="4"/>
      <c r="M1984" s="4"/>
      <c r="N1984" s="4"/>
      <c r="O1984" s="4"/>
    </row>
    <row r="1985" spans="1:15" x14ac:dyDescent="0.3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</row>
    <row r="1986" spans="1:15" x14ac:dyDescent="0.3">
      <c r="A1986" s="4" t="s">
        <v>1037</v>
      </c>
      <c r="B1986" s="4" t="s">
        <v>49</v>
      </c>
      <c r="C1986" s="4" t="s">
        <v>12</v>
      </c>
      <c r="D1986" s="4">
        <v>25884258</v>
      </c>
      <c r="E1986" s="4">
        <v>20</v>
      </c>
      <c r="F1986" s="4" t="s">
        <v>1433</v>
      </c>
      <c r="G1986" s="4">
        <v>20</v>
      </c>
      <c r="H1986" s="4">
        <v>0</v>
      </c>
      <c r="I1986" s="4">
        <v>0</v>
      </c>
      <c r="J1986" s="4"/>
      <c r="K1986" s="4"/>
      <c r="L1986" s="4"/>
      <c r="M1986" s="4"/>
      <c r="N1986" s="4"/>
      <c r="O1986" s="4"/>
    </row>
    <row r="1987" spans="1:15" x14ac:dyDescent="0.3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</row>
    <row r="1988" spans="1:15" x14ac:dyDescent="0.3">
      <c r="A1988" s="4" t="s">
        <v>1038</v>
      </c>
      <c r="B1988" s="4" t="s">
        <v>49</v>
      </c>
      <c r="C1988" s="4" t="s">
        <v>12</v>
      </c>
      <c r="D1988" s="4">
        <v>25884312</v>
      </c>
      <c r="E1988" s="4">
        <v>21</v>
      </c>
      <c r="F1988" s="4" t="s">
        <v>1433</v>
      </c>
      <c r="G1988" s="4">
        <v>21</v>
      </c>
      <c r="H1988" s="4">
        <v>0</v>
      </c>
      <c r="I1988" s="4">
        <v>0</v>
      </c>
      <c r="J1988" s="4"/>
      <c r="K1988" s="4"/>
      <c r="L1988" s="4"/>
      <c r="M1988" s="4"/>
      <c r="N1988" s="4"/>
      <c r="O1988" s="4"/>
    </row>
    <row r="1989" spans="1:15" x14ac:dyDescent="0.3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</row>
    <row r="1990" spans="1:15" x14ac:dyDescent="0.3">
      <c r="A1990" s="4" t="s">
        <v>1039</v>
      </c>
      <c r="B1990" s="4" t="s">
        <v>49</v>
      </c>
      <c r="C1990" s="4" t="s">
        <v>12</v>
      </c>
      <c r="D1990" s="4">
        <v>25884420</v>
      </c>
      <c r="E1990" s="4">
        <v>0</v>
      </c>
      <c r="F1990" s="4" t="s">
        <v>1433</v>
      </c>
      <c r="G1990" s="4">
        <v>0</v>
      </c>
      <c r="H1990" s="4">
        <v>0</v>
      </c>
      <c r="I1990" s="4">
        <v>0</v>
      </c>
      <c r="J1990" s="4"/>
      <c r="K1990" s="4"/>
      <c r="L1990" s="4"/>
      <c r="M1990" s="4"/>
      <c r="N1990" s="4"/>
      <c r="O1990" s="4"/>
    </row>
    <row r="1991" spans="1:15" x14ac:dyDescent="0.3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</row>
    <row r="1992" spans="1:15" x14ac:dyDescent="0.3">
      <c r="A1992" s="4" t="s">
        <v>1040</v>
      </c>
      <c r="B1992" s="4" t="s">
        <v>49</v>
      </c>
      <c r="C1992" s="4" t="s">
        <v>12</v>
      </c>
      <c r="D1992" s="4">
        <v>25884432</v>
      </c>
      <c r="E1992" s="4">
        <v>12</v>
      </c>
      <c r="F1992" s="4" t="s">
        <v>1433</v>
      </c>
      <c r="G1992" s="4">
        <v>12</v>
      </c>
      <c r="H1992" s="4">
        <v>0</v>
      </c>
      <c r="I1992" s="4">
        <v>0</v>
      </c>
      <c r="J1992" s="4"/>
      <c r="K1992" s="4"/>
      <c r="L1992" s="4"/>
      <c r="M1992" s="4"/>
      <c r="N1992" s="4"/>
      <c r="O1992" s="4"/>
    </row>
    <row r="1993" spans="1:15" x14ac:dyDescent="0.3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</row>
    <row r="1994" spans="1:15" x14ac:dyDescent="0.3">
      <c r="A1994" s="4" t="s">
        <v>1041</v>
      </c>
      <c r="B1994" s="4" t="s">
        <v>49</v>
      </c>
      <c r="C1994" s="4" t="s">
        <v>12</v>
      </c>
      <c r="D1994" s="4">
        <v>25884540</v>
      </c>
      <c r="E1994" s="4">
        <v>10</v>
      </c>
      <c r="F1994" s="4" t="s">
        <v>1433</v>
      </c>
      <c r="G1994" s="4">
        <v>10</v>
      </c>
      <c r="H1994" s="4">
        <v>0</v>
      </c>
      <c r="I1994" s="4">
        <v>0</v>
      </c>
      <c r="J1994" s="4"/>
      <c r="K1994" s="4"/>
      <c r="L1994" s="4"/>
      <c r="M1994" s="4"/>
      <c r="N1994" s="4"/>
      <c r="O1994" s="4"/>
    </row>
    <row r="1995" spans="1:15" x14ac:dyDescent="0.3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</row>
    <row r="1996" spans="1:15" x14ac:dyDescent="0.3">
      <c r="A1996" s="4" t="s">
        <v>1042</v>
      </c>
      <c r="B1996" s="4" t="s">
        <v>49</v>
      </c>
      <c r="C1996" s="4" t="s">
        <v>12</v>
      </c>
      <c r="D1996" s="4">
        <v>25884804</v>
      </c>
      <c r="E1996" s="4">
        <v>15</v>
      </c>
      <c r="F1996" s="4" t="s">
        <v>1433</v>
      </c>
      <c r="G1996" s="4">
        <v>15</v>
      </c>
      <c r="H1996" s="4">
        <v>0</v>
      </c>
      <c r="I1996" s="4">
        <v>0</v>
      </c>
      <c r="J1996" s="4"/>
      <c r="K1996" s="4"/>
      <c r="L1996" s="4"/>
      <c r="M1996" s="4"/>
      <c r="N1996" s="4"/>
      <c r="O1996" s="4"/>
    </row>
    <row r="1997" spans="1:15" x14ac:dyDescent="0.3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</row>
    <row r="1998" spans="1:15" x14ac:dyDescent="0.3">
      <c r="A1998" s="4" t="s">
        <v>1043</v>
      </c>
      <c r="B1998" s="4" t="s">
        <v>49</v>
      </c>
      <c r="C1998" s="4" t="s">
        <v>12</v>
      </c>
      <c r="D1998" s="4">
        <v>25884930</v>
      </c>
      <c r="E1998" s="4">
        <v>11</v>
      </c>
      <c r="F1998" s="4" t="s">
        <v>1433</v>
      </c>
      <c r="G1998" s="4">
        <v>11</v>
      </c>
      <c r="H1998" s="4">
        <v>0</v>
      </c>
      <c r="I1998" s="4">
        <v>0</v>
      </c>
      <c r="J1998" s="4"/>
      <c r="K1998" s="4"/>
      <c r="L1998" s="4"/>
      <c r="M1998" s="4"/>
      <c r="N1998" s="4"/>
      <c r="O1998" s="4"/>
    </row>
    <row r="1999" spans="1:15" x14ac:dyDescent="0.3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</row>
    <row r="2000" spans="1:15" x14ac:dyDescent="0.3">
      <c r="A2000" s="4" t="s">
        <v>1044</v>
      </c>
      <c r="B2000" s="4" t="s">
        <v>49</v>
      </c>
      <c r="C2000" s="4" t="s">
        <v>12</v>
      </c>
      <c r="D2000" s="4">
        <v>25885440</v>
      </c>
      <c r="E2000" s="4">
        <v>19</v>
      </c>
      <c r="F2000" s="4" t="s">
        <v>1433</v>
      </c>
      <c r="G2000" s="4">
        <v>19</v>
      </c>
      <c r="H2000" s="4">
        <v>0</v>
      </c>
      <c r="I2000" s="4">
        <v>0</v>
      </c>
      <c r="J2000" s="4"/>
      <c r="K2000" s="4"/>
      <c r="L2000" s="4"/>
      <c r="M2000" s="4"/>
      <c r="N2000" s="4"/>
      <c r="O2000" s="4"/>
    </row>
    <row r="2001" spans="1:15" x14ac:dyDescent="0.3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</row>
    <row r="2002" spans="1:15" x14ac:dyDescent="0.3">
      <c r="A2002" s="4" t="s">
        <v>1045</v>
      </c>
      <c r="B2002" s="4" t="s">
        <v>49</v>
      </c>
      <c r="C2002" s="4" t="s">
        <v>12</v>
      </c>
      <c r="D2002" s="4">
        <v>25885542</v>
      </c>
      <c r="E2002" s="4">
        <v>18</v>
      </c>
      <c r="F2002" s="4" t="s">
        <v>1433</v>
      </c>
      <c r="G2002" s="4">
        <v>18</v>
      </c>
      <c r="H2002" s="4">
        <v>0</v>
      </c>
      <c r="I2002" s="4">
        <v>0</v>
      </c>
      <c r="J2002" s="4"/>
      <c r="K2002" s="4"/>
      <c r="L2002" s="4"/>
      <c r="M2002" s="4"/>
      <c r="N2002" s="4"/>
      <c r="O2002" s="4"/>
    </row>
    <row r="2003" spans="1:15" x14ac:dyDescent="0.3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</row>
    <row r="2004" spans="1:15" x14ac:dyDescent="0.3">
      <c r="A2004" s="4" t="s">
        <v>1046</v>
      </c>
      <c r="B2004" s="4" t="s">
        <v>49</v>
      </c>
      <c r="C2004" s="4" t="s">
        <v>12</v>
      </c>
      <c r="D2004" s="4">
        <v>25885902</v>
      </c>
      <c r="E2004" s="4">
        <v>29</v>
      </c>
      <c r="F2004" s="4" t="s">
        <v>1433</v>
      </c>
      <c r="G2004" s="4">
        <v>29</v>
      </c>
      <c r="H2004" s="4">
        <v>0</v>
      </c>
      <c r="I2004" s="4">
        <v>0</v>
      </c>
      <c r="J2004" s="4"/>
      <c r="K2004" s="4"/>
      <c r="L2004" s="4"/>
      <c r="M2004" s="4"/>
      <c r="N2004" s="4"/>
      <c r="O2004" s="4"/>
    </row>
    <row r="2005" spans="1:15" x14ac:dyDescent="0.3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</row>
    <row r="2006" spans="1:15" x14ac:dyDescent="0.3">
      <c r="A2006" s="4" t="s">
        <v>1047</v>
      </c>
      <c r="B2006" s="4" t="s">
        <v>49</v>
      </c>
      <c r="C2006" s="4" t="s">
        <v>12</v>
      </c>
      <c r="D2006" s="4">
        <v>25885914</v>
      </c>
      <c r="E2006" s="4">
        <v>24</v>
      </c>
      <c r="F2006" s="4" t="s">
        <v>1433</v>
      </c>
      <c r="G2006" s="4">
        <v>24</v>
      </c>
      <c r="H2006" s="4">
        <v>0</v>
      </c>
      <c r="I2006" s="4">
        <v>0</v>
      </c>
      <c r="J2006" s="4"/>
      <c r="K2006" s="4"/>
      <c r="L2006" s="4"/>
      <c r="M2006" s="4"/>
      <c r="N2006" s="4"/>
      <c r="O2006" s="4"/>
    </row>
    <row r="2007" spans="1:15" x14ac:dyDescent="0.3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</row>
    <row r="2008" spans="1:15" x14ac:dyDescent="0.3">
      <c r="A2008" s="4" t="s">
        <v>1048</v>
      </c>
      <c r="B2008" s="4" t="s">
        <v>49</v>
      </c>
      <c r="C2008" s="4" t="s">
        <v>12</v>
      </c>
      <c r="D2008" s="4">
        <v>25886016</v>
      </c>
      <c r="E2008" s="4">
        <v>115</v>
      </c>
      <c r="F2008" s="4" t="s">
        <v>1433</v>
      </c>
      <c r="G2008" s="4">
        <v>115</v>
      </c>
      <c r="H2008" s="4">
        <v>0</v>
      </c>
      <c r="I2008" s="4">
        <v>0</v>
      </c>
      <c r="J2008" s="4"/>
      <c r="K2008" s="4"/>
      <c r="L2008" s="4"/>
      <c r="M2008" s="4"/>
      <c r="N2008" s="4"/>
      <c r="O2008" s="4"/>
    </row>
    <row r="2009" spans="1:15" x14ac:dyDescent="0.3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</row>
    <row r="2010" spans="1:15" x14ac:dyDescent="0.3">
      <c r="A2010" s="4" t="s">
        <v>1049</v>
      </c>
      <c r="B2010" s="4" t="s">
        <v>49</v>
      </c>
      <c r="C2010" s="4" t="s">
        <v>12</v>
      </c>
      <c r="D2010" s="4">
        <v>25886094</v>
      </c>
      <c r="E2010" s="4">
        <v>13</v>
      </c>
      <c r="F2010" s="4" t="s">
        <v>1433</v>
      </c>
      <c r="G2010" s="4">
        <v>13</v>
      </c>
      <c r="H2010" s="4">
        <v>0</v>
      </c>
      <c r="I2010" s="4">
        <v>0</v>
      </c>
      <c r="J2010" s="4"/>
      <c r="K2010" s="4"/>
      <c r="L2010" s="4"/>
      <c r="M2010" s="4"/>
      <c r="N2010" s="4"/>
      <c r="O2010" s="4"/>
    </row>
    <row r="2011" spans="1:15" x14ac:dyDescent="0.3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</row>
    <row r="2012" spans="1:15" x14ac:dyDescent="0.3">
      <c r="A2012" s="4" t="s">
        <v>1050</v>
      </c>
      <c r="B2012" s="4" t="s">
        <v>49</v>
      </c>
      <c r="C2012" s="4" t="s">
        <v>12</v>
      </c>
      <c r="D2012" s="4">
        <v>25886166</v>
      </c>
      <c r="E2012" s="4">
        <v>51</v>
      </c>
      <c r="F2012" s="4" t="s">
        <v>1433</v>
      </c>
      <c r="G2012" s="4">
        <v>51</v>
      </c>
      <c r="H2012" s="4">
        <v>0</v>
      </c>
      <c r="I2012" s="4">
        <v>0</v>
      </c>
      <c r="J2012" s="4"/>
      <c r="K2012" s="4"/>
      <c r="L2012" s="4"/>
      <c r="M2012" s="4"/>
      <c r="N2012" s="4"/>
      <c r="O2012" s="4"/>
    </row>
    <row r="2013" spans="1:15" x14ac:dyDescent="0.3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</row>
    <row r="2014" spans="1:15" x14ac:dyDescent="0.3">
      <c r="A2014" s="4" t="s">
        <v>1051</v>
      </c>
      <c r="B2014" s="4" t="s">
        <v>49</v>
      </c>
      <c r="C2014" s="4" t="s">
        <v>12</v>
      </c>
      <c r="D2014" s="4">
        <v>25886238</v>
      </c>
      <c r="E2014" s="4">
        <v>6</v>
      </c>
      <c r="F2014" s="4" t="s">
        <v>1433</v>
      </c>
      <c r="G2014" s="4">
        <v>6</v>
      </c>
      <c r="H2014" s="4">
        <v>0</v>
      </c>
      <c r="I2014" s="4">
        <v>0</v>
      </c>
      <c r="J2014" s="4"/>
      <c r="K2014" s="4"/>
      <c r="L2014" s="4"/>
      <c r="M2014" s="4"/>
      <c r="N2014" s="4"/>
      <c r="O2014" s="4"/>
    </row>
    <row r="2015" spans="1:15" x14ac:dyDescent="0.3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</row>
    <row r="2016" spans="1:15" x14ac:dyDescent="0.3">
      <c r="A2016" s="4" t="s">
        <v>1052</v>
      </c>
      <c r="B2016" s="4" t="s">
        <v>49</v>
      </c>
      <c r="C2016" s="4" t="s">
        <v>12</v>
      </c>
      <c r="D2016" s="4">
        <v>25886334</v>
      </c>
      <c r="E2016" s="4">
        <v>13</v>
      </c>
      <c r="F2016" s="4" t="s">
        <v>1433</v>
      </c>
      <c r="G2016" s="4">
        <v>13</v>
      </c>
      <c r="H2016" s="4">
        <v>0</v>
      </c>
      <c r="I2016" s="4">
        <v>0</v>
      </c>
      <c r="J2016" s="4"/>
      <c r="K2016" s="4"/>
      <c r="L2016" s="4"/>
      <c r="M2016" s="4"/>
      <c r="N2016" s="4"/>
      <c r="O2016" s="4"/>
    </row>
    <row r="2017" spans="1:15" x14ac:dyDescent="0.3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</row>
    <row r="2018" spans="1:15" x14ac:dyDescent="0.3">
      <c r="A2018" s="4" t="s">
        <v>1053</v>
      </c>
      <c r="B2018" s="4" t="s">
        <v>49</v>
      </c>
      <c r="C2018" s="4" t="s">
        <v>12</v>
      </c>
      <c r="D2018" s="4">
        <v>25886400</v>
      </c>
      <c r="E2018" s="4">
        <v>13</v>
      </c>
      <c r="F2018" s="4" t="s">
        <v>1433</v>
      </c>
      <c r="G2018" s="4">
        <v>13</v>
      </c>
      <c r="H2018" s="4">
        <v>0</v>
      </c>
      <c r="I2018" s="4">
        <v>0</v>
      </c>
      <c r="J2018" s="4"/>
      <c r="K2018" s="4"/>
      <c r="L2018" s="4"/>
      <c r="M2018" s="4"/>
      <c r="N2018" s="4"/>
      <c r="O2018" s="4"/>
    </row>
    <row r="2019" spans="1:15" x14ac:dyDescent="0.3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</row>
    <row r="2020" spans="1:15" x14ac:dyDescent="0.3">
      <c r="A2020" s="4" t="s">
        <v>1054</v>
      </c>
      <c r="B2020" s="4" t="s">
        <v>49</v>
      </c>
      <c r="C2020" s="4" t="s">
        <v>12</v>
      </c>
      <c r="D2020" s="4">
        <v>25886514</v>
      </c>
      <c r="E2020" s="4">
        <v>556</v>
      </c>
      <c r="F2020" s="4" t="s">
        <v>1433</v>
      </c>
      <c r="G2020" s="4">
        <v>556</v>
      </c>
      <c r="H2020" s="4">
        <v>0</v>
      </c>
      <c r="I2020" s="4">
        <v>0</v>
      </c>
      <c r="J2020" s="4"/>
      <c r="K2020" s="4"/>
      <c r="L2020" s="4"/>
      <c r="M2020" s="4"/>
      <c r="N2020" s="4"/>
      <c r="O2020" s="4"/>
    </row>
    <row r="2021" spans="1:15" x14ac:dyDescent="0.3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</row>
    <row r="2022" spans="1:15" x14ac:dyDescent="0.3">
      <c r="A2022" s="4" t="s">
        <v>1055</v>
      </c>
      <c r="B2022" s="4" t="s">
        <v>49</v>
      </c>
      <c r="C2022" s="4" t="s">
        <v>12</v>
      </c>
      <c r="D2022" s="4">
        <v>25886700</v>
      </c>
      <c r="E2022" s="4">
        <v>66</v>
      </c>
      <c r="F2022" s="4" t="s">
        <v>1433</v>
      </c>
      <c r="G2022" s="4">
        <v>66</v>
      </c>
      <c r="H2022" s="4">
        <v>0</v>
      </c>
      <c r="I2022" s="4">
        <v>0</v>
      </c>
      <c r="J2022" s="4"/>
      <c r="K2022" s="4"/>
      <c r="L2022" s="4"/>
      <c r="M2022" s="4"/>
      <c r="N2022" s="4"/>
      <c r="O2022" s="4"/>
    </row>
    <row r="2023" spans="1:15" x14ac:dyDescent="0.3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</row>
    <row r="2024" spans="1:15" x14ac:dyDescent="0.3">
      <c r="A2024" s="4" t="s">
        <v>1056</v>
      </c>
      <c r="B2024" s="4" t="s">
        <v>49</v>
      </c>
      <c r="C2024" s="4" t="s">
        <v>12</v>
      </c>
      <c r="D2024" s="4">
        <v>25886844</v>
      </c>
      <c r="E2024" s="4">
        <v>16</v>
      </c>
      <c r="F2024" s="4" t="s">
        <v>1433</v>
      </c>
      <c r="G2024" s="4">
        <v>16</v>
      </c>
      <c r="H2024" s="4">
        <v>0</v>
      </c>
      <c r="I2024" s="4">
        <v>0</v>
      </c>
      <c r="J2024" s="4"/>
      <c r="K2024" s="4"/>
      <c r="L2024" s="4"/>
      <c r="M2024" s="4"/>
      <c r="N2024" s="4"/>
      <c r="O2024" s="4"/>
    </row>
    <row r="2025" spans="1:15" x14ac:dyDescent="0.3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</row>
    <row r="2026" spans="1:15" x14ac:dyDescent="0.3">
      <c r="A2026" s="4" t="s">
        <v>1057</v>
      </c>
      <c r="B2026" s="4" t="s">
        <v>49</v>
      </c>
      <c r="C2026" s="4" t="s">
        <v>12</v>
      </c>
      <c r="D2026" s="4">
        <v>25886922</v>
      </c>
      <c r="E2026" s="4">
        <v>40</v>
      </c>
      <c r="F2026" s="4" t="s">
        <v>1433</v>
      </c>
      <c r="G2026" s="4">
        <v>40</v>
      </c>
      <c r="H2026" s="4">
        <v>0</v>
      </c>
      <c r="I2026" s="4">
        <v>0</v>
      </c>
      <c r="J2026" s="4"/>
      <c r="K2026" s="4"/>
      <c r="L2026" s="4"/>
      <c r="M2026" s="4"/>
      <c r="N2026" s="4"/>
      <c r="O2026" s="4"/>
    </row>
    <row r="2027" spans="1:15" x14ac:dyDescent="0.3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</row>
    <row r="2028" spans="1:15" x14ac:dyDescent="0.3">
      <c r="A2028" s="4" t="s">
        <v>1058</v>
      </c>
      <c r="B2028" s="4" t="s">
        <v>49</v>
      </c>
      <c r="C2028" s="4" t="s">
        <v>12</v>
      </c>
      <c r="D2028" s="4">
        <v>25887168</v>
      </c>
      <c r="E2028" s="4">
        <v>13</v>
      </c>
      <c r="F2028" s="4" t="s">
        <v>1433</v>
      </c>
      <c r="G2028" s="4">
        <v>13</v>
      </c>
      <c r="H2028" s="4">
        <v>0</v>
      </c>
      <c r="I2028" s="4">
        <v>0</v>
      </c>
      <c r="J2028" s="4"/>
      <c r="K2028" s="4"/>
      <c r="L2028" s="4"/>
      <c r="M2028" s="4"/>
      <c r="N2028" s="4"/>
      <c r="O2028" s="4"/>
    </row>
    <row r="2029" spans="1:15" x14ac:dyDescent="0.3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</row>
    <row r="2030" spans="1:15" x14ac:dyDescent="0.3">
      <c r="A2030" s="4" t="s">
        <v>1059</v>
      </c>
      <c r="B2030" s="4" t="s">
        <v>49</v>
      </c>
      <c r="C2030" s="4" t="s">
        <v>12</v>
      </c>
      <c r="D2030" s="4">
        <v>25887264</v>
      </c>
      <c r="E2030" s="4">
        <v>15</v>
      </c>
      <c r="F2030" s="4" t="s">
        <v>1433</v>
      </c>
      <c r="G2030" s="4">
        <v>15</v>
      </c>
      <c r="H2030" s="4">
        <v>0</v>
      </c>
      <c r="I2030" s="4">
        <v>0</v>
      </c>
      <c r="J2030" s="4"/>
      <c r="K2030" s="4"/>
      <c r="L2030" s="4"/>
      <c r="M2030" s="4"/>
      <c r="N2030" s="4"/>
      <c r="O2030" s="4"/>
    </row>
    <row r="2031" spans="1:15" x14ac:dyDescent="0.3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</row>
    <row r="2032" spans="1:15" x14ac:dyDescent="0.3">
      <c r="A2032" s="4" t="s">
        <v>1060</v>
      </c>
      <c r="B2032" s="4" t="s">
        <v>49</v>
      </c>
      <c r="C2032" s="4" t="s">
        <v>12</v>
      </c>
      <c r="D2032" s="4">
        <v>25887732</v>
      </c>
      <c r="E2032" s="4">
        <v>10</v>
      </c>
      <c r="F2032" s="4" t="s">
        <v>1433</v>
      </c>
      <c r="G2032" s="4">
        <v>10</v>
      </c>
      <c r="H2032" s="4">
        <v>0</v>
      </c>
      <c r="I2032" s="4">
        <v>0</v>
      </c>
      <c r="J2032" s="4"/>
      <c r="K2032" s="4"/>
      <c r="L2032" s="4"/>
      <c r="M2032" s="4"/>
      <c r="N2032" s="4"/>
      <c r="O2032" s="4"/>
    </row>
    <row r="2033" spans="1:15" x14ac:dyDescent="0.3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</row>
    <row r="2034" spans="1:15" x14ac:dyDescent="0.3">
      <c r="A2034" s="4" t="s">
        <v>1061</v>
      </c>
      <c r="B2034" s="4" t="s">
        <v>49</v>
      </c>
      <c r="C2034" s="4" t="s">
        <v>12</v>
      </c>
      <c r="D2034" s="4">
        <v>25887858</v>
      </c>
      <c r="E2034" s="4">
        <v>10</v>
      </c>
      <c r="F2034" s="4" t="s">
        <v>1433</v>
      </c>
      <c r="G2034" s="4">
        <v>10</v>
      </c>
      <c r="H2034" s="4">
        <v>0</v>
      </c>
      <c r="I2034" s="4">
        <v>0</v>
      </c>
      <c r="J2034" s="4"/>
      <c r="K2034" s="4"/>
      <c r="L2034" s="4"/>
      <c r="M2034" s="4"/>
      <c r="N2034" s="4"/>
      <c r="O2034" s="4"/>
    </row>
    <row r="2035" spans="1:15" x14ac:dyDescent="0.3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</row>
    <row r="2036" spans="1:15" x14ac:dyDescent="0.3">
      <c r="A2036" s="4" t="s">
        <v>1062</v>
      </c>
      <c r="B2036" s="4" t="s">
        <v>49</v>
      </c>
      <c r="C2036" s="4" t="s">
        <v>12</v>
      </c>
      <c r="D2036" s="4">
        <v>25887978</v>
      </c>
      <c r="E2036" s="4">
        <v>14</v>
      </c>
      <c r="F2036" s="4" t="s">
        <v>1433</v>
      </c>
      <c r="G2036" s="4">
        <v>14</v>
      </c>
      <c r="H2036" s="4">
        <v>0</v>
      </c>
      <c r="I2036" s="4">
        <v>0</v>
      </c>
      <c r="J2036" s="4"/>
      <c r="K2036" s="4"/>
      <c r="L2036" s="4"/>
      <c r="M2036" s="4"/>
      <c r="N2036" s="4"/>
      <c r="O2036" s="4"/>
    </row>
    <row r="2037" spans="1:15" x14ac:dyDescent="0.3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</row>
    <row r="2038" spans="1:15" x14ac:dyDescent="0.3">
      <c r="A2038" s="4" t="s">
        <v>1063</v>
      </c>
      <c r="B2038" s="4" t="s">
        <v>49</v>
      </c>
      <c r="C2038" s="4" t="s">
        <v>12</v>
      </c>
      <c r="D2038" s="4">
        <v>25888218</v>
      </c>
      <c r="E2038" s="4">
        <v>15</v>
      </c>
      <c r="F2038" s="4" t="s">
        <v>1433</v>
      </c>
      <c r="G2038" s="4">
        <v>15</v>
      </c>
      <c r="H2038" s="4">
        <v>0</v>
      </c>
      <c r="I2038" s="4">
        <v>0</v>
      </c>
      <c r="J2038" s="4"/>
      <c r="K2038" s="4"/>
      <c r="L2038" s="4"/>
      <c r="M2038" s="4"/>
      <c r="N2038" s="4"/>
      <c r="O2038" s="4"/>
    </row>
    <row r="2039" spans="1:15" x14ac:dyDescent="0.3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</row>
    <row r="2040" spans="1:15" x14ac:dyDescent="0.3">
      <c r="A2040" s="4" t="s">
        <v>1064</v>
      </c>
      <c r="B2040" s="4" t="s">
        <v>49</v>
      </c>
      <c r="C2040" s="4" t="s">
        <v>12</v>
      </c>
      <c r="D2040" s="4">
        <v>25888632</v>
      </c>
      <c r="E2040" s="4">
        <v>10</v>
      </c>
      <c r="F2040" s="4" t="s">
        <v>1433</v>
      </c>
      <c r="G2040" s="4">
        <v>10</v>
      </c>
      <c r="H2040" s="4">
        <v>0</v>
      </c>
      <c r="I2040" s="4">
        <v>0</v>
      </c>
      <c r="J2040" s="4"/>
      <c r="K2040" s="4"/>
      <c r="L2040" s="4"/>
      <c r="M2040" s="4"/>
      <c r="N2040" s="4"/>
      <c r="O2040" s="4"/>
    </row>
    <row r="2041" spans="1:15" x14ac:dyDescent="0.3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</row>
    <row r="2042" spans="1:15" x14ac:dyDescent="0.3">
      <c r="A2042" s="4" t="s">
        <v>1065</v>
      </c>
      <c r="B2042" s="4" t="s">
        <v>49</v>
      </c>
      <c r="C2042" s="4" t="s">
        <v>12</v>
      </c>
      <c r="D2042" s="4">
        <v>25888848</v>
      </c>
      <c r="E2042" s="4">
        <v>24</v>
      </c>
      <c r="F2042" s="4" t="s">
        <v>1433</v>
      </c>
      <c r="G2042" s="4">
        <v>24</v>
      </c>
      <c r="H2042" s="4">
        <v>0</v>
      </c>
      <c r="I2042" s="4">
        <v>0</v>
      </c>
      <c r="J2042" s="4"/>
      <c r="K2042" s="4"/>
      <c r="L2042" s="4"/>
      <c r="M2042" s="4"/>
      <c r="N2042" s="4"/>
      <c r="O2042" s="4"/>
    </row>
    <row r="2043" spans="1:15" x14ac:dyDescent="0.3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</row>
    <row r="2044" spans="1:15" x14ac:dyDescent="0.3">
      <c r="A2044" s="4" t="s">
        <v>1066</v>
      </c>
      <c r="B2044" s="4" t="s">
        <v>49</v>
      </c>
      <c r="C2044" s="4" t="s">
        <v>12</v>
      </c>
      <c r="D2044" s="4">
        <v>25889286</v>
      </c>
      <c r="E2044" s="4">
        <v>10</v>
      </c>
      <c r="F2044" s="4" t="s">
        <v>1433</v>
      </c>
      <c r="G2044" s="4">
        <v>10</v>
      </c>
      <c r="H2044" s="4">
        <v>0</v>
      </c>
      <c r="I2044" s="4">
        <v>0</v>
      </c>
      <c r="J2044" s="4"/>
      <c r="K2044" s="4"/>
      <c r="L2044" s="4"/>
      <c r="M2044" s="4"/>
      <c r="N2044" s="4"/>
      <c r="O2044" s="4"/>
    </row>
    <row r="2045" spans="1:15" x14ac:dyDescent="0.3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</row>
    <row r="2046" spans="1:15" x14ac:dyDescent="0.3">
      <c r="A2046" s="4" t="s">
        <v>1067</v>
      </c>
      <c r="B2046" s="4" t="s">
        <v>49</v>
      </c>
      <c r="C2046" s="4" t="s">
        <v>12</v>
      </c>
      <c r="D2046" s="4">
        <v>25889484</v>
      </c>
      <c r="E2046" s="4">
        <v>7</v>
      </c>
      <c r="F2046" s="4" t="s">
        <v>1433</v>
      </c>
      <c r="G2046" s="4">
        <v>7</v>
      </c>
      <c r="H2046" s="4">
        <v>0</v>
      </c>
      <c r="I2046" s="4">
        <v>0</v>
      </c>
      <c r="J2046" s="4"/>
      <c r="K2046" s="4"/>
      <c r="L2046" s="4"/>
      <c r="M2046" s="4"/>
      <c r="N2046" s="4"/>
      <c r="O2046" s="4"/>
    </row>
    <row r="2047" spans="1:15" x14ac:dyDescent="0.3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</row>
    <row r="2048" spans="1:15" x14ac:dyDescent="0.3">
      <c r="A2048" s="4" t="s">
        <v>1068</v>
      </c>
      <c r="B2048" s="4" t="s">
        <v>49</v>
      </c>
      <c r="C2048" s="4" t="s">
        <v>12</v>
      </c>
      <c r="D2048" s="4">
        <v>25889496</v>
      </c>
      <c r="E2048" s="4">
        <v>6</v>
      </c>
      <c r="F2048" s="4" t="s">
        <v>1433</v>
      </c>
      <c r="G2048" s="4">
        <v>6</v>
      </c>
      <c r="H2048" s="4">
        <v>0</v>
      </c>
      <c r="I2048" s="4">
        <v>0</v>
      </c>
      <c r="J2048" s="4"/>
      <c r="K2048" s="4"/>
      <c r="L2048" s="4"/>
      <c r="M2048" s="4"/>
      <c r="N2048" s="4"/>
      <c r="O2048" s="4"/>
    </row>
    <row r="2049" spans="1:15" x14ac:dyDescent="0.3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</row>
    <row r="2050" spans="1:15" x14ac:dyDescent="0.3">
      <c r="A2050" s="4" t="s">
        <v>1069</v>
      </c>
      <c r="B2050" s="4" t="s">
        <v>49</v>
      </c>
      <c r="C2050" s="4" t="s">
        <v>12</v>
      </c>
      <c r="D2050" s="4">
        <v>25889658</v>
      </c>
      <c r="E2050" s="4">
        <v>13</v>
      </c>
      <c r="F2050" s="4" t="s">
        <v>1433</v>
      </c>
      <c r="G2050" s="4">
        <v>13</v>
      </c>
      <c r="H2050" s="4">
        <v>0</v>
      </c>
      <c r="I2050" s="4">
        <v>0</v>
      </c>
      <c r="J2050" s="4"/>
      <c r="K2050" s="4"/>
      <c r="L2050" s="4"/>
      <c r="M2050" s="4"/>
      <c r="N2050" s="4"/>
      <c r="O2050" s="4"/>
    </row>
    <row r="2051" spans="1:15" x14ac:dyDescent="0.3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</row>
    <row r="2052" spans="1:15" x14ac:dyDescent="0.3">
      <c r="A2052" s="4" t="s">
        <v>1070</v>
      </c>
      <c r="B2052" s="4" t="s">
        <v>49</v>
      </c>
      <c r="C2052" s="4" t="s">
        <v>12</v>
      </c>
      <c r="D2052" s="4">
        <v>25889676</v>
      </c>
      <c r="E2052" s="4">
        <v>13</v>
      </c>
      <c r="F2052" s="4" t="s">
        <v>1433</v>
      </c>
      <c r="G2052" s="4">
        <v>13</v>
      </c>
      <c r="H2052" s="4">
        <v>0</v>
      </c>
      <c r="I2052" s="4">
        <v>0</v>
      </c>
      <c r="J2052" s="4"/>
      <c r="K2052" s="4"/>
      <c r="L2052" s="4"/>
      <c r="M2052" s="4"/>
      <c r="N2052" s="4"/>
      <c r="O2052" s="4"/>
    </row>
    <row r="2053" spans="1:15" x14ac:dyDescent="0.3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</row>
    <row r="2054" spans="1:15" x14ac:dyDescent="0.3">
      <c r="A2054" s="4" t="s">
        <v>1071</v>
      </c>
      <c r="B2054" s="4" t="s">
        <v>49</v>
      </c>
      <c r="C2054" s="4" t="s">
        <v>12</v>
      </c>
      <c r="D2054" s="4">
        <v>25889790</v>
      </c>
      <c r="E2054" s="4">
        <v>44</v>
      </c>
      <c r="F2054" s="4" t="s">
        <v>1433</v>
      </c>
      <c r="G2054" s="4">
        <v>44</v>
      </c>
      <c r="H2054" s="4">
        <v>0</v>
      </c>
      <c r="I2054" s="4">
        <v>0</v>
      </c>
      <c r="J2054" s="4"/>
      <c r="K2054" s="4"/>
      <c r="L2054" s="4"/>
      <c r="M2054" s="4"/>
      <c r="N2054" s="4"/>
      <c r="O2054" s="4"/>
    </row>
    <row r="2055" spans="1:15" x14ac:dyDescent="0.3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</row>
    <row r="2056" spans="1:15" x14ac:dyDescent="0.3">
      <c r="A2056" s="4" t="s">
        <v>1072</v>
      </c>
      <c r="B2056" s="4" t="s">
        <v>49</v>
      </c>
      <c r="C2056" s="4" t="s">
        <v>12</v>
      </c>
      <c r="D2056" s="4">
        <v>25890408</v>
      </c>
      <c r="E2056" s="4">
        <v>13</v>
      </c>
      <c r="F2056" s="4" t="s">
        <v>1433</v>
      </c>
      <c r="G2056" s="4">
        <v>13</v>
      </c>
      <c r="H2056" s="4">
        <v>0</v>
      </c>
      <c r="I2056" s="4">
        <v>0</v>
      </c>
      <c r="J2056" s="4"/>
      <c r="K2056" s="4"/>
      <c r="L2056" s="4"/>
      <c r="M2056" s="4"/>
      <c r="N2056" s="4"/>
      <c r="O2056" s="4"/>
    </row>
    <row r="2057" spans="1:15" x14ac:dyDescent="0.3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</row>
    <row r="2058" spans="1:15" x14ac:dyDescent="0.3">
      <c r="A2058" s="4" t="s">
        <v>1073</v>
      </c>
      <c r="B2058" s="4" t="s">
        <v>49</v>
      </c>
      <c r="C2058" s="4" t="s">
        <v>12</v>
      </c>
      <c r="D2058" s="4">
        <v>25890984</v>
      </c>
      <c r="E2058" s="4">
        <v>15</v>
      </c>
      <c r="F2058" s="4" t="s">
        <v>1433</v>
      </c>
      <c r="G2058" s="4">
        <v>15</v>
      </c>
      <c r="H2058" s="4">
        <v>0</v>
      </c>
      <c r="I2058" s="4">
        <v>0</v>
      </c>
      <c r="J2058" s="4"/>
      <c r="K2058" s="4"/>
      <c r="L2058" s="4"/>
      <c r="M2058" s="4"/>
      <c r="N2058" s="4"/>
      <c r="O2058" s="4"/>
    </row>
    <row r="2059" spans="1:15" x14ac:dyDescent="0.3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</row>
    <row r="2060" spans="1:15" x14ac:dyDescent="0.3">
      <c r="A2060" s="4" t="s">
        <v>1074</v>
      </c>
      <c r="B2060" s="4" t="s">
        <v>49</v>
      </c>
      <c r="C2060" s="4" t="s">
        <v>12</v>
      </c>
      <c r="D2060" s="4">
        <v>25891164</v>
      </c>
      <c r="E2060" s="4">
        <v>19</v>
      </c>
      <c r="F2060" s="4" t="s">
        <v>1433</v>
      </c>
      <c r="G2060" s="4">
        <v>19</v>
      </c>
      <c r="H2060" s="4">
        <v>0</v>
      </c>
      <c r="I2060" s="4">
        <v>0</v>
      </c>
      <c r="J2060" s="4"/>
      <c r="K2060" s="4"/>
      <c r="L2060" s="4"/>
      <c r="M2060" s="4"/>
      <c r="N2060" s="4"/>
      <c r="O2060" s="4"/>
    </row>
    <row r="2061" spans="1:15" x14ac:dyDescent="0.3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</row>
    <row r="2062" spans="1:15" x14ac:dyDescent="0.3">
      <c r="A2062" s="4" t="s">
        <v>1075</v>
      </c>
      <c r="B2062" s="4" t="s">
        <v>49</v>
      </c>
      <c r="C2062" s="4" t="s">
        <v>12</v>
      </c>
      <c r="D2062" s="4">
        <v>25891800</v>
      </c>
      <c r="E2062" s="4">
        <v>20</v>
      </c>
      <c r="F2062" s="4" t="s">
        <v>1433</v>
      </c>
      <c r="G2062" s="4">
        <v>20</v>
      </c>
      <c r="H2062" s="4">
        <v>0</v>
      </c>
      <c r="I2062" s="4">
        <v>0</v>
      </c>
      <c r="J2062" s="4"/>
      <c r="K2062" s="4"/>
      <c r="L2062" s="4"/>
      <c r="M2062" s="4"/>
      <c r="N2062" s="4"/>
      <c r="O2062" s="4"/>
    </row>
    <row r="2063" spans="1:15" x14ac:dyDescent="0.3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</row>
    <row r="2064" spans="1:15" x14ac:dyDescent="0.3">
      <c r="A2064" s="4" t="s">
        <v>1076</v>
      </c>
      <c r="B2064" s="4" t="s">
        <v>49</v>
      </c>
      <c r="C2064" s="4" t="s">
        <v>12</v>
      </c>
      <c r="D2064" s="4">
        <v>25891806</v>
      </c>
      <c r="E2064" s="4">
        <v>89</v>
      </c>
      <c r="F2064" s="4" t="s">
        <v>1433</v>
      </c>
      <c r="G2064" s="4">
        <v>89</v>
      </c>
      <c r="H2064" s="4">
        <v>0</v>
      </c>
      <c r="I2064" s="4">
        <v>0</v>
      </c>
      <c r="J2064" s="4"/>
      <c r="K2064" s="4"/>
      <c r="L2064" s="4"/>
      <c r="M2064" s="4"/>
      <c r="N2064" s="4"/>
      <c r="O2064" s="4"/>
    </row>
    <row r="2065" spans="1:15" x14ac:dyDescent="0.3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</row>
    <row r="2066" spans="1:15" x14ac:dyDescent="0.3">
      <c r="A2066" s="4" t="s">
        <v>1077</v>
      </c>
      <c r="B2066" s="4" t="s">
        <v>49</v>
      </c>
      <c r="C2066" s="4" t="s">
        <v>12</v>
      </c>
      <c r="D2066" s="4">
        <v>25892028</v>
      </c>
      <c r="E2066" s="4">
        <v>15</v>
      </c>
      <c r="F2066" s="4" t="s">
        <v>1433</v>
      </c>
      <c r="G2066" s="4">
        <v>15</v>
      </c>
      <c r="H2066" s="4">
        <v>0</v>
      </c>
      <c r="I2066" s="4">
        <v>0</v>
      </c>
      <c r="J2066" s="4"/>
      <c r="K2066" s="4"/>
      <c r="L2066" s="4"/>
      <c r="M2066" s="4"/>
      <c r="N2066" s="4"/>
      <c r="O2066" s="4"/>
    </row>
    <row r="2067" spans="1:15" x14ac:dyDescent="0.3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</row>
    <row r="2068" spans="1:15" x14ac:dyDescent="0.3">
      <c r="A2068" s="4" t="s">
        <v>1078</v>
      </c>
      <c r="B2068" s="4" t="s">
        <v>49</v>
      </c>
      <c r="C2068" s="4" t="s">
        <v>12</v>
      </c>
      <c r="D2068" s="4">
        <v>25892406</v>
      </c>
      <c r="E2068" s="4">
        <v>147</v>
      </c>
      <c r="F2068" s="4" t="s">
        <v>1433</v>
      </c>
      <c r="G2068" s="4">
        <v>147</v>
      </c>
      <c r="H2068" s="4">
        <v>0</v>
      </c>
      <c r="I2068" s="4">
        <v>0</v>
      </c>
      <c r="J2068" s="4"/>
      <c r="K2068" s="4"/>
      <c r="L2068" s="4"/>
      <c r="M2068" s="4"/>
      <c r="N2068" s="4"/>
      <c r="O2068" s="4"/>
    </row>
    <row r="2069" spans="1:15" x14ac:dyDescent="0.3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</row>
    <row r="2070" spans="1:15" x14ac:dyDescent="0.3">
      <c r="A2070" s="4" t="s">
        <v>1079</v>
      </c>
      <c r="B2070" s="4" t="s">
        <v>49</v>
      </c>
      <c r="C2070" s="4" t="s">
        <v>12</v>
      </c>
      <c r="D2070" s="4">
        <v>25892538</v>
      </c>
      <c r="E2070" s="4">
        <v>14</v>
      </c>
      <c r="F2070" s="4" t="s">
        <v>1433</v>
      </c>
      <c r="G2070" s="4">
        <v>14</v>
      </c>
      <c r="H2070" s="4">
        <v>0</v>
      </c>
      <c r="I2070" s="4">
        <v>0</v>
      </c>
      <c r="J2070" s="4"/>
      <c r="K2070" s="4"/>
      <c r="L2070" s="4"/>
      <c r="M2070" s="4"/>
      <c r="N2070" s="4"/>
      <c r="O2070" s="4"/>
    </row>
    <row r="2071" spans="1:15" x14ac:dyDescent="0.3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</row>
    <row r="2072" spans="1:15" x14ac:dyDescent="0.3">
      <c r="A2072" s="4" t="s">
        <v>1080</v>
      </c>
      <c r="B2072" s="4" t="s">
        <v>49</v>
      </c>
      <c r="C2072" s="4" t="s">
        <v>12</v>
      </c>
      <c r="D2072" s="4">
        <v>25892790</v>
      </c>
      <c r="E2072" s="4">
        <v>28</v>
      </c>
      <c r="F2072" s="4" t="s">
        <v>1433</v>
      </c>
      <c r="G2072" s="4">
        <v>28</v>
      </c>
      <c r="H2072" s="4">
        <v>0</v>
      </c>
      <c r="I2072" s="4">
        <v>0</v>
      </c>
      <c r="J2072" s="4"/>
      <c r="K2072" s="4"/>
      <c r="L2072" s="4"/>
      <c r="M2072" s="4"/>
      <c r="N2072" s="4"/>
      <c r="O2072" s="4"/>
    </row>
    <row r="2073" spans="1:15" x14ac:dyDescent="0.3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</row>
    <row r="2074" spans="1:15" x14ac:dyDescent="0.3">
      <c r="A2074" s="4" t="s">
        <v>1081</v>
      </c>
      <c r="B2074" s="4" t="s">
        <v>49</v>
      </c>
      <c r="C2074" s="4" t="s">
        <v>12</v>
      </c>
      <c r="D2074" s="4">
        <v>25893252</v>
      </c>
      <c r="E2074" s="4">
        <v>12</v>
      </c>
      <c r="F2074" s="4" t="s">
        <v>1433</v>
      </c>
      <c r="G2074" s="4">
        <v>12</v>
      </c>
      <c r="H2074" s="4">
        <v>0</v>
      </c>
      <c r="I2074" s="4">
        <v>0</v>
      </c>
      <c r="J2074" s="4"/>
      <c r="K2074" s="4"/>
      <c r="L2074" s="4"/>
      <c r="M2074" s="4"/>
      <c r="N2074" s="4"/>
      <c r="O2074" s="4"/>
    </row>
    <row r="2075" spans="1:15" x14ac:dyDescent="0.3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</row>
    <row r="2076" spans="1:15" x14ac:dyDescent="0.3">
      <c r="A2076" s="4" t="s">
        <v>1082</v>
      </c>
      <c r="B2076" s="4" t="s">
        <v>49</v>
      </c>
      <c r="C2076" s="4" t="s">
        <v>12</v>
      </c>
      <c r="D2076" s="4">
        <v>25893348</v>
      </c>
      <c r="E2076" s="4">
        <v>18</v>
      </c>
      <c r="F2076" s="4" t="s">
        <v>1433</v>
      </c>
      <c r="G2076" s="4">
        <v>18</v>
      </c>
      <c r="H2076" s="4">
        <v>0</v>
      </c>
      <c r="I2076" s="4">
        <v>0</v>
      </c>
      <c r="J2076" s="4"/>
      <c r="K2076" s="4"/>
      <c r="L2076" s="4"/>
      <c r="M2076" s="4"/>
      <c r="N2076" s="4"/>
      <c r="O2076" s="4"/>
    </row>
    <row r="2077" spans="1:15" x14ac:dyDescent="0.3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</row>
    <row r="2078" spans="1:15" x14ac:dyDescent="0.3">
      <c r="A2078" s="4" t="s">
        <v>1083</v>
      </c>
      <c r="B2078" s="4" t="s">
        <v>49</v>
      </c>
      <c r="C2078" s="4" t="s">
        <v>12</v>
      </c>
      <c r="D2078" s="4">
        <v>25893594</v>
      </c>
      <c r="E2078" s="4">
        <v>12</v>
      </c>
      <c r="F2078" s="4" t="s">
        <v>1433</v>
      </c>
      <c r="G2078" s="4">
        <v>12</v>
      </c>
      <c r="H2078" s="4">
        <v>0</v>
      </c>
      <c r="I2078" s="4">
        <v>0</v>
      </c>
      <c r="J2078" s="4"/>
      <c r="K2078" s="4"/>
      <c r="L2078" s="4"/>
      <c r="M2078" s="4"/>
      <c r="N2078" s="4"/>
      <c r="O2078" s="4"/>
    </row>
    <row r="2079" spans="1:15" x14ac:dyDescent="0.3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</row>
    <row r="2080" spans="1:15" x14ac:dyDescent="0.3">
      <c r="A2080" s="4" t="s">
        <v>1084</v>
      </c>
      <c r="B2080" s="4" t="s">
        <v>49</v>
      </c>
      <c r="C2080" s="4" t="s">
        <v>12</v>
      </c>
      <c r="D2080" s="4">
        <v>25893756</v>
      </c>
      <c r="E2080" s="4">
        <v>12</v>
      </c>
      <c r="F2080" s="4" t="s">
        <v>1433</v>
      </c>
      <c r="G2080" s="4">
        <v>12</v>
      </c>
      <c r="H2080" s="4">
        <v>0</v>
      </c>
      <c r="I2080" s="4">
        <v>0</v>
      </c>
      <c r="J2080" s="4"/>
      <c r="K2080" s="4"/>
      <c r="L2080" s="4"/>
      <c r="M2080" s="4"/>
      <c r="N2080" s="4"/>
      <c r="O2080" s="4"/>
    </row>
    <row r="2081" spans="1:15" x14ac:dyDescent="0.3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</row>
    <row r="2082" spans="1:15" x14ac:dyDescent="0.3">
      <c r="A2082" s="4" t="s">
        <v>1085</v>
      </c>
      <c r="B2082" s="4" t="s">
        <v>49</v>
      </c>
      <c r="C2082" s="4" t="s">
        <v>12</v>
      </c>
      <c r="D2082" s="4">
        <v>25894128</v>
      </c>
      <c r="E2082" s="4">
        <v>146</v>
      </c>
      <c r="F2082" s="4" t="s">
        <v>1433</v>
      </c>
      <c r="G2082" s="4">
        <v>146</v>
      </c>
      <c r="H2082" s="4">
        <v>0</v>
      </c>
      <c r="I2082" s="4">
        <v>0</v>
      </c>
      <c r="J2082" s="4"/>
      <c r="K2082" s="4"/>
      <c r="L2082" s="4"/>
      <c r="M2082" s="4"/>
      <c r="N2082" s="4"/>
      <c r="O2082" s="4"/>
    </row>
    <row r="2083" spans="1:15" x14ac:dyDescent="0.3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</row>
    <row r="2084" spans="1:15" x14ac:dyDescent="0.3">
      <c r="A2084" s="4" t="s">
        <v>1086</v>
      </c>
      <c r="B2084" s="4" t="s">
        <v>49</v>
      </c>
      <c r="C2084" s="4" t="s">
        <v>12</v>
      </c>
      <c r="D2084" s="4">
        <v>25894542</v>
      </c>
      <c r="E2084" s="4">
        <v>13</v>
      </c>
      <c r="F2084" s="4" t="s">
        <v>1433</v>
      </c>
      <c r="G2084" s="4">
        <v>13</v>
      </c>
      <c r="H2084" s="4">
        <v>0</v>
      </c>
      <c r="I2084" s="4">
        <v>0</v>
      </c>
      <c r="J2084" s="4"/>
      <c r="K2084" s="4"/>
      <c r="L2084" s="4"/>
      <c r="M2084" s="4"/>
      <c r="N2084" s="4"/>
      <c r="O2084" s="4"/>
    </row>
    <row r="2085" spans="1:15" x14ac:dyDescent="0.3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</row>
    <row r="2086" spans="1:15" x14ac:dyDescent="0.3">
      <c r="A2086" s="4" t="s">
        <v>1087</v>
      </c>
      <c r="B2086" s="4" t="s">
        <v>49</v>
      </c>
      <c r="C2086" s="4" t="s">
        <v>12</v>
      </c>
      <c r="D2086" s="4">
        <v>25894554</v>
      </c>
      <c r="E2086" s="4">
        <v>27</v>
      </c>
      <c r="F2086" s="4" t="s">
        <v>1433</v>
      </c>
      <c r="G2086" s="4">
        <v>27</v>
      </c>
      <c r="H2086" s="4">
        <v>0</v>
      </c>
      <c r="I2086" s="4">
        <v>0</v>
      </c>
      <c r="J2086" s="4"/>
      <c r="K2086" s="4"/>
      <c r="L2086" s="4"/>
      <c r="M2086" s="4"/>
      <c r="N2086" s="4"/>
      <c r="O2086" s="4"/>
    </row>
    <row r="2087" spans="1:15" x14ac:dyDescent="0.3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</row>
    <row r="2088" spans="1:15" x14ac:dyDescent="0.3">
      <c r="A2088" s="4" t="s">
        <v>1088</v>
      </c>
      <c r="B2088" s="4" t="s">
        <v>49</v>
      </c>
      <c r="C2088" s="4" t="s">
        <v>12</v>
      </c>
      <c r="D2088" s="4">
        <v>25894560</v>
      </c>
      <c r="E2088" s="4">
        <v>27</v>
      </c>
      <c r="F2088" s="4" t="s">
        <v>1433</v>
      </c>
      <c r="G2088" s="4">
        <v>27</v>
      </c>
      <c r="H2088" s="4">
        <v>0</v>
      </c>
      <c r="I2088" s="4">
        <v>0</v>
      </c>
      <c r="J2088" s="4"/>
      <c r="K2088" s="4"/>
      <c r="L2088" s="4"/>
      <c r="M2088" s="4"/>
      <c r="N2088" s="4"/>
      <c r="O2088" s="4"/>
    </row>
    <row r="2089" spans="1:15" x14ac:dyDescent="0.3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</row>
    <row r="2090" spans="1:15" x14ac:dyDescent="0.3">
      <c r="A2090" s="4" t="s">
        <v>1089</v>
      </c>
      <c r="B2090" s="4" t="s">
        <v>49</v>
      </c>
      <c r="C2090" s="4" t="s">
        <v>12</v>
      </c>
      <c r="D2090" s="4">
        <v>25894566</v>
      </c>
      <c r="E2090" s="4">
        <v>13</v>
      </c>
      <c r="F2090" s="4" t="s">
        <v>1433</v>
      </c>
      <c r="G2090" s="4">
        <v>13</v>
      </c>
      <c r="H2090" s="4">
        <v>0</v>
      </c>
      <c r="I2090" s="4">
        <v>0</v>
      </c>
      <c r="J2090" s="4"/>
      <c r="K2090" s="4"/>
      <c r="L2090" s="4"/>
      <c r="M2090" s="4"/>
      <c r="N2090" s="4"/>
      <c r="O2090" s="4"/>
    </row>
    <row r="2091" spans="1:15" x14ac:dyDescent="0.3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</row>
    <row r="2092" spans="1:15" x14ac:dyDescent="0.3">
      <c r="A2092" s="4" t="s">
        <v>1090</v>
      </c>
      <c r="B2092" s="4" t="s">
        <v>49</v>
      </c>
      <c r="C2092" s="4" t="s">
        <v>12</v>
      </c>
      <c r="D2092" s="4">
        <v>25894590</v>
      </c>
      <c r="E2092" s="4">
        <v>6</v>
      </c>
      <c r="F2092" s="4" t="s">
        <v>1433</v>
      </c>
      <c r="G2092" s="4">
        <v>6</v>
      </c>
      <c r="H2092" s="4">
        <v>0</v>
      </c>
      <c r="I2092" s="4">
        <v>0</v>
      </c>
      <c r="J2092" s="4"/>
      <c r="K2092" s="4"/>
      <c r="L2092" s="4"/>
      <c r="M2092" s="4"/>
      <c r="N2092" s="4"/>
      <c r="O2092" s="4"/>
    </row>
    <row r="2093" spans="1:15" x14ac:dyDescent="0.3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</row>
    <row r="2094" spans="1:15" x14ac:dyDescent="0.3">
      <c r="A2094" s="4" t="s">
        <v>1091</v>
      </c>
      <c r="B2094" s="4" t="s">
        <v>49</v>
      </c>
      <c r="C2094" s="4" t="s">
        <v>12</v>
      </c>
      <c r="D2094" s="4">
        <v>25894668</v>
      </c>
      <c r="E2094" s="4">
        <v>12</v>
      </c>
      <c r="F2094" s="4" t="s">
        <v>1433</v>
      </c>
      <c r="G2094" s="4">
        <v>12</v>
      </c>
      <c r="H2094" s="4">
        <v>0</v>
      </c>
      <c r="I2094" s="4">
        <v>0</v>
      </c>
      <c r="J2094" s="4"/>
      <c r="K2094" s="4"/>
      <c r="L2094" s="4"/>
      <c r="M2094" s="4"/>
      <c r="N2094" s="4"/>
      <c r="O2094" s="4"/>
    </row>
    <row r="2095" spans="1:15" x14ac:dyDescent="0.3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</row>
    <row r="2096" spans="1:15" x14ac:dyDescent="0.3">
      <c r="A2096" s="4" t="s">
        <v>1092</v>
      </c>
      <c r="B2096" s="4" t="s">
        <v>49</v>
      </c>
      <c r="C2096" s="4" t="s">
        <v>12</v>
      </c>
      <c r="D2096" s="4">
        <v>25894728</v>
      </c>
      <c r="E2096" s="4">
        <v>48</v>
      </c>
      <c r="F2096" s="4" t="s">
        <v>1433</v>
      </c>
      <c r="G2096" s="4">
        <v>48</v>
      </c>
      <c r="H2096" s="4">
        <v>0</v>
      </c>
      <c r="I2096" s="4">
        <v>0</v>
      </c>
      <c r="J2096" s="4"/>
      <c r="K2096" s="4"/>
      <c r="L2096" s="4"/>
      <c r="M2096" s="4"/>
      <c r="N2096" s="4"/>
      <c r="O2096" s="4"/>
    </row>
    <row r="2097" spans="1:15" x14ac:dyDescent="0.3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</row>
    <row r="2098" spans="1:15" x14ac:dyDescent="0.3">
      <c r="A2098" s="4" t="s">
        <v>1093</v>
      </c>
      <c r="B2098" s="4" t="s">
        <v>49</v>
      </c>
      <c r="C2098" s="4" t="s">
        <v>12</v>
      </c>
      <c r="D2098" s="4">
        <v>25895220</v>
      </c>
      <c r="E2098" s="4">
        <v>17</v>
      </c>
      <c r="F2098" s="4" t="s">
        <v>1433</v>
      </c>
      <c r="G2098" s="4">
        <v>17</v>
      </c>
      <c r="H2098" s="4">
        <v>0</v>
      </c>
      <c r="I2098" s="4">
        <v>0</v>
      </c>
      <c r="J2098" s="4"/>
      <c r="K2098" s="4"/>
      <c r="L2098" s="4"/>
      <c r="M2098" s="4"/>
      <c r="N2098" s="4"/>
      <c r="O2098" s="4"/>
    </row>
    <row r="2099" spans="1:15" x14ac:dyDescent="0.3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</row>
    <row r="2100" spans="1:15" x14ac:dyDescent="0.3">
      <c r="A2100" s="4" t="s">
        <v>1094</v>
      </c>
      <c r="B2100" s="4" t="s">
        <v>49</v>
      </c>
      <c r="C2100" s="4" t="s">
        <v>12</v>
      </c>
      <c r="D2100" s="4">
        <v>25895508</v>
      </c>
      <c r="E2100" s="4">
        <v>93</v>
      </c>
      <c r="F2100" s="4" t="s">
        <v>1433</v>
      </c>
      <c r="G2100" s="4">
        <v>93</v>
      </c>
      <c r="H2100" s="4">
        <v>0</v>
      </c>
      <c r="I2100" s="4">
        <v>0</v>
      </c>
      <c r="J2100" s="4"/>
      <c r="K2100" s="4"/>
      <c r="L2100" s="4"/>
      <c r="M2100" s="4"/>
      <c r="N2100" s="4"/>
      <c r="O2100" s="4"/>
    </row>
    <row r="2101" spans="1:15" x14ac:dyDescent="0.3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</row>
    <row r="2102" spans="1:15" x14ac:dyDescent="0.3">
      <c r="A2102" s="4" t="s">
        <v>1095</v>
      </c>
      <c r="B2102" s="4" t="s">
        <v>49</v>
      </c>
      <c r="C2102" s="4" t="s">
        <v>12</v>
      </c>
      <c r="D2102" s="4">
        <v>25899120</v>
      </c>
      <c r="E2102" s="4">
        <v>22</v>
      </c>
      <c r="F2102" s="4" t="s">
        <v>1433</v>
      </c>
      <c r="G2102" s="4">
        <v>22</v>
      </c>
      <c r="H2102" s="4">
        <v>0</v>
      </c>
      <c r="I2102" s="4">
        <v>0</v>
      </c>
      <c r="J2102" s="4"/>
      <c r="K2102" s="4"/>
      <c r="L2102" s="4"/>
      <c r="M2102" s="4"/>
      <c r="N2102" s="4"/>
      <c r="O2102" s="4"/>
    </row>
    <row r="2103" spans="1:15" x14ac:dyDescent="0.3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</row>
    <row r="2104" spans="1:15" x14ac:dyDescent="0.3">
      <c r="A2104" s="4" t="s">
        <v>1096</v>
      </c>
      <c r="B2104" s="4" t="s">
        <v>49</v>
      </c>
      <c r="C2104" s="4" t="s">
        <v>12</v>
      </c>
      <c r="D2104" s="4">
        <v>25899144</v>
      </c>
      <c r="E2104" s="4">
        <v>9</v>
      </c>
      <c r="F2104" s="4" t="s">
        <v>1433</v>
      </c>
      <c r="G2104" s="4">
        <v>9</v>
      </c>
      <c r="H2104" s="4">
        <v>0</v>
      </c>
      <c r="I2104" s="4">
        <v>0</v>
      </c>
      <c r="J2104" s="4"/>
      <c r="K2104" s="4"/>
      <c r="L2104" s="4"/>
      <c r="M2104" s="4"/>
      <c r="N2104" s="4"/>
      <c r="O2104" s="4"/>
    </row>
    <row r="2105" spans="1:15" x14ac:dyDescent="0.3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</row>
    <row r="2106" spans="1:15" x14ac:dyDescent="0.3">
      <c r="A2106" s="4" t="s">
        <v>1097</v>
      </c>
      <c r="B2106" s="4" t="s">
        <v>49</v>
      </c>
      <c r="C2106" s="4" t="s">
        <v>12</v>
      </c>
      <c r="D2106" s="4">
        <v>25900536</v>
      </c>
      <c r="E2106" s="4">
        <v>20</v>
      </c>
      <c r="F2106" s="4" t="s">
        <v>1433</v>
      </c>
      <c r="G2106" s="4">
        <v>20</v>
      </c>
      <c r="H2106" s="4">
        <v>0</v>
      </c>
      <c r="I2106" s="4">
        <v>0</v>
      </c>
      <c r="J2106" s="4"/>
      <c r="K2106" s="4"/>
      <c r="L2106" s="4"/>
      <c r="M2106" s="4"/>
      <c r="N2106" s="4"/>
      <c r="O2106" s="4"/>
    </row>
    <row r="2107" spans="1:15" x14ac:dyDescent="0.3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</row>
    <row r="2108" spans="1:15" x14ac:dyDescent="0.3">
      <c r="A2108" s="4" t="s">
        <v>1098</v>
      </c>
      <c r="B2108" s="4" t="s">
        <v>49</v>
      </c>
      <c r="C2108" s="4" t="s">
        <v>12</v>
      </c>
      <c r="D2108" s="4">
        <v>25900620</v>
      </c>
      <c r="E2108" s="4">
        <v>10</v>
      </c>
      <c r="F2108" s="4" t="s">
        <v>1433</v>
      </c>
      <c r="G2108" s="4">
        <v>10</v>
      </c>
      <c r="H2108" s="4">
        <v>0</v>
      </c>
      <c r="I2108" s="4">
        <v>0</v>
      </c>
      <c r="J2108" s="4"/>
      <c r="K2108" s="4"/>
      <c r="L2108" s="4"/>
      <c r="M2108" s="4"/>
      <c r="N2108" s="4"/>
      <c r="O2108" s="4"/>
    </row>
    <row r="2109" spans="1:15" x14ac:dyDescent="0.3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</row>
    <row r="2110" spans="1:15" x14ac:dyDescent="0.3">
      <c r="A2110" s="4" t="s">
        <v>1099</v>
      </c>
      <c r="B2110" s="4" t="s">
        <v>49</v>
      </c>
      <c r="C2110" s="4" t="s">
        <v>12</v>
      </c>
      <c r="D2110" s="4">
        <v>25900716</v>
      </c>
      <c r="E2110" s="4">
        <v>20</v>
      </c>
      <c r="F2110" s="4" t="s">
        <v>1433</v>
      </c>
      <c r="G2110" s="4">
        <v>20</v>
      </c>
      <c r="H2110" s="4">
        <v>0</v>
      </c>
      <c r="I2110" s="4">
        <v>0</v>
      </c>
      <c r="J2110" s="4"/>
      <c r="K2110" s="4"/>
      <c r="L2110" s="4"/>
      <c r="M2110" s="4"/>
      <c r="N2110" s="4"/>
      <c r="O2110" s="4"/>
    </row>
    <row r="2111" spans="1:15" x14ac:dyDescent="0.3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</row>
    <row r="2112" spans="1:15" x14ac:dyDescent="0.3">
      <c r="A2112" s="4" t="s">
        <v>1100</v>
      </c>
      <c r="B2112" s="4" t="s">
        <v>49</v>
      </c>
      <c r="C2112" s="4" t="s">
        <v>12</v>
      </c>
      <c r="D2112" s="4">
        <v>25900734</v>
      </c>
      <c r="E2112" s="4">
        <v>14</v>
      </c>
      <c r="F2112" s="4" t="s">
        <v>1433</v>
      </c>
      <c r="G2112" s="4">
        <v>14</v>
      </c>
      <c r="H2112" s="4">
        <v>0</v>
      </c>
      <c r="I2112" s="4">
        <v>0</v>
      </c>
      <c r="J2112" s="4"/>
      <c r="K2112" s="4"/>
      <c r="L2112" s="4"/>
      <c r="M2112" s="4"/>
      <c r="N2112" s="4"/>
      <c r="O2112" s="4"/>
    </row>
    <row r="2113" spans="1:15" x14ac:dyDescent="0.3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</row>
    <row r="2114" spans="1:15" x14ac:dyDescent="0.3">
      <c r="A2114" s="4" t="s">
        <v>1101</v>
      </c>
      <c r="B2114" s="4" t="s">
        <v>49</v>
      </c>
      <c r="C2114" s="4" t="s">
        <v>12</v>
      </c>
      <c r="D2114" s="4">
        <v>25900758</v>
      </c>
      <c r="E2114" s="4">
        <v>20</v>
      </c>
      <c r="F2114" s="4" t="s">
        <v>1433</v>
      </c>
      <c r="G2114" s="4">
        <v>20</v>
      </c>
      <c r="H2114" s="4">
        <v>0</v>
      </c>
      <c r="I2114" s="4">
        <v>0</v>
      </c>
      <c r="J2114" s="4"/>
      <c r="K2114" s="4"/>
      <c r="L2114" s="4"/>
      <c r="M2114" s="4"/>
      <c r="N2114" s="4"/>
      <c r="O2114" s="4"/>
    </row>
    <row r="2115" spans="1:15" x14ac:dyDescent="0.3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</row>
    <row r="2116" spans="1:15" x14ac:dyDescent="0.3">
      <c r="A2116" s="4" t="s">
        <v>1102</v>
      </c>
      <c r="B2116" s="4" t="s">
        <v>49</v>
      </c>
      <c r="C2116" s="4" t="s">
        <v>12</v>
      </c>
      <c r="D2116" s="4">
        <v>25901124</v>
      </c>
      <c r="E2116" s="4">
        <v>7</v>
      </c>
      <c r="F2116" s="4" t="s">
        <v>1433</v>
      </c>
      <c r="G2116" s="4">
        <v>7</v>
      </c>
      <c r="H2116" s="4">
        <v>0</v>
      </c>
      <c r="I2116" s="4">
        <v>0</v>
      </c>
      <c r="J2116" s="4"/>
      <c r="K2116" s="4"/>
      <c r="L2116" s="4"/>
      <c r="M2116" s="4"/>
      <c r="N2116" s="4"/>
      <c r="O2116" s="4"/>
    </row>
    <row r="2117" spans="1:15" x14ac:dyDescent="0.3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</row>
    <row r="2118" spans="1:15" x14ac:dyDescent="0.3">
      <c r="A2118" s="4" t="s">
        <v>1103</v>
      </c>
      <c r="B2118" s="4" t="s">
        <v>49</v>
      </c>
      <c r="C2118" s="4" t="s">
        <v>12</v>
      </c>
      <c r="D2118" s="4">
        <v>25901136</v>
      </c>
      <c r="E2118" s="4">
        <v>7</v>
      </c>
      <c r="F2118" s="4" t="s">
        <v>1433</v>
      </c>
      <c r="G2118" s="4">
        <v>7</v>
      </c>
      <c r="H2118" s="4">
        <v>0</v>
      </c>
      <c r="I2118" s="4">
        <v>0</v>
      </c>
      <c r="J2118" s="4"/>
      <c r="K2118" s="4"/>
      <c r="L2118" s="4"/>
      <c r="M2118" s="4"/>
      <c r="N2118" s="4"/>
      <c r="O2118" s="4"/>
    </row>
    <row r="2119" spans="1:15" x14ac:dyDescent="0.3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</row>
    <row r="2120" spans="1:15" x14ac:dyDescent="0.3">
      <c r="A2120" s="4" t="s">
        <v>1104</v>
      </c>
      <c r="B2120" s="4" t="s">
        <v>49</v>
      </c>
      <c r="C2120" s="4" t="s">
        <v>12</v>
      </c>
      <c r="D2120" s="4">
        <v>25901202</v>
      </c>
      <c r="E2120" s="4">
        <v>7</v>
      </c>
      <c r="F2120" s="4" t="s">
        <v>1433</v>
      </c>
      <c r="G2120" s="4">
        <v>7</v>
      </c>
      <c r="H2120" s="4">
        <v>0</v>
      </c>
      <c r="I2120" s="4">
        <v>0</v>
      </c>
      <c r="J2120" s="4"/>
      <c r="K2120" s="4"/>
      <c r="L2120" s="4"/>
      <c r="M2120" s="4"/>
      <c r="N2120" s="4"/>
      <c r="O2120" s="4"/>
    </row>
    <row r="2121" spans="1:15" x14ac:dyDescent="0.3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</row>
    <row r="2122" spans="1:15" x14ac:dyDescent="0.3">
      <c r="A2122" s="4" t="s">
        <v>1105</v>
      </c>
      <c r="B2122" s="4" t="s">
        <v>49</v>
      </c>
      <c r="C2122" s="4" t="s">
        <v>12</v>
      </c>
      <c r="D2122" s="4">
        <v>25901454</v>
      </c>
      <c r="E2122" s="4">
        <v>11</v>
      </c>
      <c r="F2122" s="4" t="s">
        <v>1433</v>
      </c>
      <c r="G2122" s="4">
        <v>11</v>
      </c>
      <c r="H2122" s="4">
        <v>0</v>
      </c>
      <c r="I2122" s="4">
        <v>0</v>
      </c>
      <c r="J2122" s="4"/>
      <c r="K2122" s="4"/>
      <c r="L2122" s="4"/>
      <c r="M2122" s="4"/>
      <c r="N2122" s="4"/>
      <c r="O2122" s="4"/>
    </row>
    <row r="2123" spans="1:15" x14ac:dyDescent="0.3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</row>
    <row r="2124" spans="1:15" x14ac:dyDescent="0.3">
      <c r="A2124" s="4" t="s">
        <v>1106</v>
      </c>
      <c r="B2124" s="4" t="s">
        <v>49</v>
      </c>
      <c r="C2124" s="4" t="s">
        <v>12</v>
      </c>
      <c r="D2124" s="4">
        <v>25901520</v>
      </c>
      <c r="E2124" s="4">
        <v>11</v>
      </c>
      <c r="F2124" s="4" t="s">
        <v>1433</v>
      </c>
      <c r="G2124" s="4">
        <v>11</v>
      </c>
      <c r="H2124" s="4">
        <v>0</v>
      </c>
      <c r="I2124" s="4">
        <v>0</v>
      </c>
      <c r="J2124" s="4"/>
      <c r="K2124" s="4"/>
      <c r="L2124" s="4"/>
      <c r="M2124" s="4"/>
      <c r="N2124" s="4"/>
      <c r="O2124" s="4"/>
    </row>
    <row r="2125" spans="1:15" x14ac:dyDescent="0.3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</row>
    <row r="2126" spans="1:15" x14ac:dyDescent="0.3">
      <c r="A2126" s="4" t="s">
        <v>1107</v>
      </c>
      <c r="B2126" s="4" t="s">
        <v>49</v>
      </c>
      <c r="C2126" s="4" t="s">
        <v>12</v>
      </c>
      <c r="D2126" s="4">
        <v>25901610</v>
      </c>
      <c r="E2126" s="4">
        <v>20</v>
      </c>
      <c r="F2126" s="4" t="s">
        <v>1433</v>
      </c>
      <c r="G2126" s="4">
        <v>20</v>
      </c>
      <c r="H2126" s="4">
        <v>0</v>
      </c>
      <c r="I2126" s="4">
        <v>0</v>
      </c>
      <c r="J2126" s="4"/>
      <c r="K2126" s="4"/>
      <c r="L2126" s="4"/>
      <c r="M2126" s="4"/>
      <c r="N2126" s="4"/>
      <c r="O2126" s="4"/>
    </row>
    <row r="2127" spans="1:15" x14ac:dyDescent="0.3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</row>
    <row r="2128" spans="1:15" x14ac:dyDescent="0.3">
      <c r="A2128" s="4" t="s">
        <v>1108</v>
      </c>
      <c r="B2128" s="4" t="s">
        <v>49</v>
      </c>
      <c r="C2128" s="4" t="s">
        <v>12</v>
      </c>
      <c r="D2128" s="4">
        <v>25901724</v>
      </c>
      <c r="E2128" s="4">
        <v>123</v>
      </c>
      <c r="F2128" s="4" t="s">
        <v>1433</v>
      </c>
      <c r="G2128" s="4">
        <v>123</v>
      </c>
      <c r="H2128" s="4">
        <v>0</v>
      </c>
      <c r="I2128" s="4">
        <v>0</v>
      </c>
      <c r="J2128" s="4"/>
      <c r="K2128" s="4"/>
      <c r="L2128" s="4"/>
      <c r="M2128" s="4"/>
      <c r="N2128" s="4"/>
      <c r="O2128" s="4"/>
    </row>
    <row r="2129" spans="1:15" x14ac:dyDescent="0.3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</row>
    <row r="2130" spans="1:15" x14ac:dyDescent="0.3">
      <c r="A2130" s="4" t="s">
        <v>1109</v>
      </c>
      <c r="B2130" s="4" t="s">
        <v>49</v>
      </c>
      <c r="C2130" s="4" t="s">
        <v>12</v>
      </c>
      <c r="D2130" s="4">
        <v>25901808</v>
      </c>
      <c r="E2130" s="4">
        <v>61</v>
      </c>
      <c r="F2130" s="4" t="s">
        <v>1433</v>
      </c>
      <c r="G2130" s="4">
        <v>61</v>
      </c>
      <c r="H2130" s="4">
        <v>0</v>
      </c>
      <c r="I2130" s="4">
        <v>0</v>
      </c>
      <c r="J2130" s="4"/>
      <c r="K2130" s="4"/>
      <c r="L2130" s="4"/>
      <c r="M2130" s="4"/>
      <c r="N2130" s="4"/>
      <c r="O2130" s="4"/>
    </row>
    <row r="2131" spans="1:15" x14ac:dyDescent="0.3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</row>
    <row r="2132" spans="1:15" x14ac:dyDescent="0.3">
      <c r="A2132" s="4" t="s">
        <v>1110</v>
      </c>
      <c r="B2132" s="4" t="s">
        <v>49</v>
      </c>
      <c r="C2132" s="4" t="s">
        <v>12</v>
      </c>
      <c r="D2132" s="4">
        <v>25902012</v>
      </c>
      <c r="E2132" s="4">
        <v>40</v>
      </c>
      <c r="F2132" s="4" t="s">
        <v>1433</v>
      </c>
      <c r="G2132" s="4">
        <v>40</v>
      </c>
      <c r="H2132" s="4">
        <v>0</v>
      </c>
      <c r="I2132" s="4">
        <v>0</v>
      </c>
      <c r="J2132" s="4"/>
      <c r="K2132" s="4"/>
      <c r="L2132" s="4"/>
      <c r="M2132" s="4"/>
      <c r="N2132" s="4"/>
      <c r="O2132" s="4"/>
    </row>
    <row r="2133" spans="1:15" x14ac:dyDescent="0.3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</row>
    <row r="2134" spans="1:15" x14ac:dyDescent="0.3">
      <c r="A2134" s="4" t="s">
        <v>1111</v>
      </c>
      <c r="B2134" s="4" t="s">
        <v>49</v>
      </c>
      <c r="C2134" s="4" t="s">
        <v>12</v>
      </c>
      <c r="D2134" s="4">
        <v>25902042</v>
      </c>
      <c r="E2134" s="4">
        <v>11</v>
      </c>
      <c r="F2134" s="4" t="s">
        <v>1433</v>
      </c>
      <c r="G2134" s="4">
        <v>11</v>
      </c>
      <c r="H2134" s="4">
        <v>0</v>
      </c>
      <c r="I2134" s="4">
        <v>0</v>
      </c>
      <c r="J2134" s="4"/>
      <c r="K2134" s="4"/>
      <c r="L2134" s="4"/>
      <c r="M2134" s="4"/>
      <c r="N2134" s="4"/>
      <c r="O2134" s="4"/>
    </row>
    <row r="2135" spans="1:15" x14ac:dyDescent="0.3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</row>
    <row r="2136" spans="1:15" x14ac:dyDescent="0.3">
      <c r="A2136" s="4" t="s">
        <v>1112</v>
      </c>
      <c r="B2136" s="4" t="s">
        <v>49</v>
      </c>
      <c r="C2136" s="4" t="s">
        <v>12</v>
      </c>
      <c r="D2136" s="4">
        <v>25902060</v>
      </c>
      <c r="E2136" s="4">
        <v>11</v>
      </c>
      <c r="F2136" s="4" t="s">
        <v>1433</v>
      </c>
      <c r="G2136" s="4">
        <v>11</v>
      </c>
      <c r="H2136" s="4">
        <v>0</v>
      </c>
      <c r="I2136" s="4">
        <v>0</v>
      </c>
      <c r="J2136" s="4"/>
      <c r="K2136" s="4"/>
      <c r="L2136" s="4"/>
      <c r="M2136" s="4"/>
      <c r="N2136" s="4"/>
      <c r="O2136" s="4"/>
    </row>
    <row r="2137" spans="1:15" x14ac:dyDescent="0.3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</row>
    <row r="2138" spans="1:15" x14ac:dyDescent="0.3">
      <c r="A2138" s="4" t="s">
        <v>1113</v>
      </c>
      <c r="B2138" s="4" t="s">
        <v>49</v>
      </c>
      <c r="C2138" s="4" t="s">
        <v>12</v>
      </c>
      <c r="D2138" s="4">
        <v>25902072</v>
      </c>
      <c r="E2138" s="4">
        <v>39</v>
      </c>
      <c r="F2138" s="4" t="s">
        <v>1433</v>
      </c>
      <c r="G2138" s="4">
        <v>39</v>
      </c>
      <c r="H2138" s="4">
        <v>0</v>
      </c>
      <c r="I2138" s="4">
        <v>0</v>
      </c>
      <c r="J2138" s="4"/>
      <c r="K2138" s="4"/>
      <c r="L2138" s="4"/>
      <c r="M2138" s="4"/>
      <c r="N2138" s="4"/>
      <c r="O2138" s="4"/>
    </row>
    <row r="2139" spans="1:15" x14ac:dyDescent="0.3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</row>
    <row r="2140" spans="1:15" x14ac:dyDescent="0.3">
      <c r="A2140" s="4" t="s">
        <v>1114</v>
      </c>
      <c r="B2140" s="4" t="s">
        <v>49</v>
      </c>
      <c r="C2140" s="4" t="s">
        <v>12</v>
      </c>
      <c r="D2140" s="4">
        <v>26345472</v>
      </c>
      <c r="E2140" s="4">
        <v>17</v>
      </c>
      <c r="F2140" s="4" t="s">
        <v>1433</v>
      </c>
      <c r="G2140" s="4">
        <v>17</v>
      </c>
      <c r="H2140" s="4">
        <v>0</v>
      </c>
      <c r="I2140" s="4">
        <v>0</v>
      </c>
      <c r="J2140" s="4"/>
      <c r="K2140" s="4"/>
      <c r="L2140" s="4"/>
      <c r="M2140" s="4"/>
      <c r="N2140" s="4"/>
      <c r="O2140" s="4"/>
    </row>
    <row r="2141" spans="1:15" x14ac:dyDescent="0.3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</row>
    <row r="2142" spans="1:15" x14ac:dyDescent="0.3">
      <c r="A2142" s="4" t="s">
        <v>1115</v>
      </c>
      <c r="B2142" s="4" t="s">
        <v>49</v>
      </c>
      <c r="C2142" s="4" t="s">
        <v>12</v>
      </c>
      <c r="D2142" s="4">
        <v>26345904</v>
      </c>
      <c r="E2142" s="4">
        <v>181</v>
      </c>
      <c r="F2142" s="4" t="s">
        <v>1433</v>
      </c>
      <c r="G2142" s="4">
        <v>181</v>
      </c>
      <c r="H2142" s="4">
        <v>0</v>
      </c>
      <c r="I2142" s="4">
        <v>0</v>
      </c>
      <c r="J2142" s="4"/>
      <c r="K2142" s="4"/>
      <c r="L2142" s="4"/>
      <c r="M2142" s="4"/>
      <c r="N2142" s="4"/>
      <c r="O2142" s="4"/>
    </row>
    <row r="2143" spans="1:15" x14ac:dyDescent="0.3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</row>
    <row r="2144" spans="1:15" x14ac:dyDescent="0.3">
      <c r="A2144" s="4" t="s">
        <v>1116</v>
      </c>
      <c r="B2144" s="4" t="s">
        <v>49</v>
      </c>
      <c r="C2144" s="4" t="s">
        <v>12</v>
      </c>
      <c r="D2144" s="4">
        <v>26345982</v>
      </c>
      <c r="E2144" s="4">
        <v>16</v>
      </c>
      <c r="F2144" s="4" t="s">
        <v>1433</v>
      </c>
      <c r="G2144" s="4">
        <v>16</v>
      </c>
      <c r="H2144" s="4">
        <v>0</v>
      </c>
      <c r="I2144" s="4">
        <v>0</v>
      </c>
      <c r="J2144" s="4"/>
      <c r="K2144" s="4"/>
      <c r="L2144" s="4"/>
      <c r="M2144" s="4"/>
      <c r="N2144" s="4"/>
      <c r="O2144" s="4"/>
    </row>
    <row r="2145" spans="1:15" x14ac:dyDescent="0.3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</row>
    <row r="2146" spans="1:15" x14ac:dyDescent="0.3">
      <c r="A2146" s="4" t="s">
        <v>1117</v>
      </c>
      <c r="B2146" s="4" t="s">
        <v>49</v>
      </c>
      <c r="C2146" s="4" t="s">
        <v>12</v>
      </c>
      <c r="D2146" s="4">
        <v>26346900</v>
      </c>
      <c r="E2146" s="4">
        <v>157</v>
      </c>
      <c r="F2146" s="4" t="s">
        <v>1433</v>
      </c>
      <c r="G2146" s="4">
        <v>157</v>
      </c>
      <c r="H2146" s="4">
        <v>0</v>
      </c>
      <c r="I2146" s="4">
        <v>0</v>
      </c>
      <c r="J2146" s="4"/>
      <c r="K2146" s="4"/>
      <c r="L2146" s="4"/>
      <c r="M2146" s="4"/>
      <c r="N2146" s="4"/>
      <c r="O2146" s="4"/>
    </row>
    <row r="2147" spans="1:15" x14ac:dyDescent="0.3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</row>
    <row r="2148" spans="1:15" x14ac:dyDescent="0.3">
      <c r="A2148" s="4" t="s">
        <v>1118</v>
      </c>
      <c r="B2148" s="4" t="s">
        <v>49</v>
      </c>
      <c r="C2148" s="4" t="s">
        <v>12</v>
      </c>
      <c r="D2148" s="4">
        <v>26348076</v>
      </c>
      <c r="E2148" s="4">
        <v>18</v>
      </c>
      <c r="F2148" s="4" t="s">
        <v>1433</v>
      </c>
      <c r="G2148" s="4">
        <v>18</v>
      </c>
      <c r="H2148" s="4">
        <v>0</v>
      </c>
      <c r="I2148" s="4">
        <v>0</v>
      </c>
      <c r="J2148" s="4"/>
      <c r="K2148" s="4"/>
      <c r="L2148" s="4"/>
      <c r="M2148" s="4"/>
      <c r="N2148" s="4"/>
      <c r="O2148" s="4"/>
    </row>
    <row r="2149" spans="1:15" x14ac:dyDescent="0.3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</row>
    <row r="2150" spans="1:15" x14ac:dyDescent="0.3">
      <c r="A2150" s="4" t="s">
        <v>1119</v>
      </c>
      <c r="B2150" s="4" t="s">
        <v>49</v>
      </c>
      <c r="C2150" s="4" t="s">
        <v>12</v>
      </c>
      <c r="D2150" s="4">
        <v>26349030</v>
      </c>
      <c r="E2150" s="4">
        <v>78</v>
      </c>
      <c r="F2150" s="4" t="s">
        <v>1433</v>
      </c>
      <c r="G2150" s="4">
        <v>78</v>
      </c>
      <c r="H2150" s="4">
        <v>0</v>
      </c>
      <c r="I2150" s="4">
        <v>0</v>
      </c>
      <c r="J2150" s="4"/>
      <c r="K2150" s="4"/>
      <c r="L2150" s="4"/>
      <c r="M2150" s="4"/>
      <c r="N2150" s="4"/>
      <c r="O2150" s="4"/>
    </row>
    <row r="2151" spans="1:15" x14ac:dyDescent="0.3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</row>
    <row r="2152" spans="1:15" x14ac:dyDescent="0.3">
      <c r="A2152" s="4" t="s">
        <v>1120</v>
      </c>
      <c r="B2152" s="4" t="s">
        <v>49</v>
      </c>
      <c r="C2152" s="4" t="s">
        <v>12</v>
      </c>
      <c r="D2152" s="4">
        <v>26351124</v>
      </c>
      <c r="E2152" s="4">
        <v>85</v>
      </c>
      <c r="F2152" s="4" t="s">
        <v>1433</v>
      </c>
      <c r="G2152" s="4">
        <v>85</v>
      </c>
      <c r="H2152" s="4">
        <v>0</v>
      </c>
      <c r="I2152" s="4">
        <v>0</v>
      </c>
      <c r="J2152" s="4"/>
      <c r="K2152" s="4"/>
      <c r="L2152" s="4"/>
      <c r="M2152" s="4"/>
      <c r="N2152" s="4"/>
      <c r="O2152" s="4"/>
    </row>
    <row r="2153" spans="1:15" x14ac:dyDescent="0.3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</row>
    <row r="2154" spans="1:15" x14ac:dyDescent="0.3">
      <c r="A2154" s="4" t="s">
        <v>1121</v>
      </c>
      <c r="B2154" s="4" t="s">
        <v>49</v>
      </c>
      <c r="C2154" s="4" t="s">
        <v>12</v>
      </c>
      <c r="D2154" s="4">
        <v>26351172</v>
      </c>
      <c r="E2154" s="4">
        <v>31</v>
      </c>
      <c r="F2154" s="4" t="s">
        <v>1433</v>
      </c>
      <c r="G2154" s="4">
        <v>31</v>
      </c>
      <c r="H2154" s="4">
        <v>0</v>
      </c>
      <c r="I2154" s="4">
        <v>0</v>
      </c>
      <c r="J2154" s="4"/>
      <c r="K2154" s="4"/>
      <c r="L2154" s="4"/>
      <c r="M2154" s="4"/>
      <c r="N2154" s="4"/>
      <c r="O2154" s="4"/>
    </row>
    <row r="2155" spans="1:15" x14ac:dyDescent="0.3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</row>
    <row r="2156" spans="1:15" x14ac:dyDescent="0.3">
      <c r="A2156" s="4" t="s">
        <v>1122</v>
      </c>
      <c r="B2156" s="4" t="s">
        <v>49</v>
      </c>
      <c r="C2156" s="4" t="s">
        <v>12</v>
      </c>
      <c r="D2156" s="4">
        <v>26354484</v>
      </c>
      <c r="E2156" s="4">
        <v>25</v>
      </c>
      <c r="F2156" s="4" t="s">
        <v>1433</v>
      </c>
      <c r="G2156" s="4">
        <v>25</v>
      </c>
      <c r="H2156" s="4">
        <v>0</v>
      </c>
      <c r="I2156" s="4">
        <v>0</v>
      </c>
      <c r="J2156" s="4"/>
      <c r="K2156" s="4"/>
      <c r="L2156" s="4"/>
      <c r="M2156" s="4"/>
      <c r="N2156" s="4"/>
      <c r="O2156" s="4"/>
    </row>
    <row r="2157" spans="1:15" x14ac:dyDescent="0.3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</row>
    <row r="2158" spans="1:15" x14ac:dyDescent="0.3">
      <c r="A2158" s="4" t="s">
        <v>1123</v>
      </c>
      <c r="B2158" s="4" t="s">
        <v>49</v>
      </c>
      <c r="C2158" s="4" t="s">
        <v>12</v>
      </c>
      <c r="D2158" s="4">
        <v>26354508</v>
      </c>
      <c r="E2158" s="4">
        <v>130</v>
      </c>
      <c r="F2158" s="4" t="s">
        <v>1433</v>
      </c>
      <c r="G2158" s="4">
        <v>130</v>
      </c>
      <c r="H2158" s="4">
        <v>0</v>
      </c>
      <c r="I2158" s="4">
        <v>0</v>
      </c>
      <c r="J2158" s="4"/>
      <c r="K2158" s="4"/>
      <c r="L2158" s="4"/>
      <c r="M2158" s="4"/>
      <c r="N2158" s="4"/>
      <c r="O2158" s="4"/>
    </row>
    <row r="2159" spans="1:15" x14ac:dyDescent="0.3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</row>
    <row r="2160" spans="1:15" x14ac:dyDescent="0.3">
      <c r="A2160" s="4" t="s">
        <v>1124</v>
      </c>
      <c r="B2160" s="4" t="s">
        <v>49</v>
      </c>
      <c r="C2160" s="4" t="s">
        <v>12</v>
      </c>
      <c r="D2160" s="4">
        <v>26355264</v>
      </c>
      <c r="E2160" s="4">
        <v>31</v>
      </c>
      <c r="F2160" s="4" t="s">
        <v>1433</v>
      </c>
      <c r="G2160" s="4">
        <v>31</v>
      </c>
      <c r="H2160" s="4">
        <v>0</v>
      </c>
      <c r="I2160" s="4">
        <v>0</v>
      </c>
      <c r="J2160" s="4"/>
      <c r="K2160" s="4"/>
      <c r="L2160" s="4"/>
      <c r="M2160" s="4"/>
      <c r="N2160" s="4"/>
      <c r="O2160" s="4"/>
    </row>
    <row r="2161" spans="1:15" x14ac:dyDescent="0.3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</row>
    <row r="2162" spans="1:15" x14ac:dyDescent="0.3">
      <c r="A2162" s="4" t="s">
        <v>1125</v>
      </c>
      <c r="B2162" s="4" t="s">
        <v>49</v>
      </c>
      <c r="C2162" s="4" t="s">
        <v>12</v>
      </c>
      <c r="D2162" s="4">
        <v>26356164</v>
      </c>
      <c r="E2162" s="4">
        <v>104</v>
      </c>
      <c r="F2162" s="4" t="s">
        <v>1433</v>
      </c>
      <c r="G2162" s="4">
        <v>104</v>
      </c>
      <c r="H2162" s="4">
        <v>0</v>
      </c>
      <c r="I2162" s="4">
        <v>0</v>
      </c>
      <c r="J2162" s="4"/>
      <c r="K2162" s="4"/>
      <c r="L2162" s="4"/>
      <c r="M2162" s="4"/>
      <c r="N2162" s="4"/>
      <c r="O2162" s="4"/>
    </row>
    <row r="2163" spans="1:15" x14ac:dyDescent="0.3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</row>
    <row r="2164" spans="1:15" x14ac:dyDescent="0.3">
      <c r="A2164" s="4" t="s">
        <v>1126</v>
      </c>
      <c r="B2164" s="4" t="s">
        <v>49</v>
      </c>
      <c r="C2164" s="4" t="s">
        <v>12</v>
      </c>
      <c r="D2164" s="4">
        <v>26356308</v>
      </c>
      <c r="E2164" s="4">
        <v>20</v>
      </c>
      <c r="F2164" s="4" t="s">
        <v>1433</v>
      </c>
      <c r="G2164" s="4">
        <v>20</v>
      </c>
      <c r="H2164" s="4">
        <v>0</v>
      </c>
      <c r="I2164" s="4">
        <v>0</v>
      </c>
      <c r="J2164" s="4"/>
      <c r="K2164" s="4"/>
      <c r="L2164" s="4"/>
      <c r="M2164" s="4"/>
      <c r="N2164" s="4"/>
      <c r="O2164" s="4"/>
    </row>
    <row r="2165" spans="1:15" x14ac:dyDescent="0.3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</row>
    <row r="2166" spans="1:15" x14ac:dyDescent="0.3">
      <c r="A2166" s="4" t="s">
        <v>1127</v>
      </c>
      <c r="B2166" s="4" t="s">
        <v>49</v>
      </c>
      <c r="C2166" s="4" t="s">
        <v>12</v>
      </c>
      <c r="D2166" s="4">
        <v>26356494</v>
      </c>
      <c r="E2166" s="4">
        <v>38</v>
      </c>
      <c r="F2166" s="4" t="s">
        <v>1433</v>
      </c>
      <c r="G2166" s="4">
        <v>38</v>
      </c>
      <c r="H2166" s="4">
        <v>0</v>
      </c>
      <c r="I2166" s="4">
        <v>0</v>
      </c>
      <c r="J2166" s="4"/>
      <c r="K2166" s="4"/>
      <c r="L2166" s="4"/>
      <c r="M2166" s="4"/>
      <c r="N2166" s="4"/>
      <c r="O2166" s="4"/>
    </row>
    <row r="2167" spans="1:15" x14ac:dyDescent="0.3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</row>
    <row r="2168" spans="1:15" x14ac:dyDescent="0.3">
      <c r="A2168" s="4" t="s">
        <v>1128</v>
      </c>
      <c r="B2168" s="4" t="s">
        <v>49</v>
      </c>
      <c r="C2168" s="4" t="s">
        <v>12</v>
      </c>
      <c r="D2168" s="4">
        <v>26357604</v>
      </c>
      <c r="E2168" s="4">
        <v>130</v>
      </c>
      <c r="F2168" s="4" t="s">
        <v>1433</v>
      </c>
      <c r="G2168" s="4">
        <v>130</v>
      </c>
      <c r="H2168" s="4">
        <v>0</v>
      </c>
      <c r="I2168" s="4">
        <v>0</v>
      </c>
      <c r="J2168" s="4"/>
      <c r="K2168" s="4"/>
      <c r="L2168" s="4"/>
      <c r="M2168" s="4"/>
      <c r="N2168" s="4"/>
      <c r="O2168" s="4"/>
    </row>
    <row r="2169" spans="1:15" x14ac:dyDescent="0.3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</row>
    <row r="2170" spans="1:15" x14ac:dyDescent="0.3">
      <c r="A2170" s="4" t="s">
        <v>1129</v>
      </c>
      <c r="B2170" s="4" t="s">
        <v>49</v>
      </c>
      <c r="C2170" s="4" t="s">
        <v>12</v>
      </c>
      <c r="D2170" s="4">
        <v>26357688</v>
      </c>
      <c r="E2170" s="4">
        <v>20</v>
      </c>
      <c r="F2170" s="4" t="s">
        <v>1433</v>
      </c>
      <c r="G2170" s="4">
        <v>20</v>
      </c>
      <c r="H2170" s="4">
        <v>0</v>
      </c>
      <c r="I2170" s="4">
        <v>0</v>
      </c>
      <c r="J2170" s="4"/>
      <c r="K2170" s="4"/>
      <c r="L2170" s="4"/>
      <c r="M2170" s="4"/>
      <c r="N2170" s="4"/>
      <c r="O2170" s="4"/>
    </row>
    <row r="2171" spans="1:15" x14ac:dyDescent="0.3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</row>
    <row r="2172" spans="1:15" x14ac:dyDescent="0.3">
      <c r="A2172" s="4" t="s">
        <v>1130</v>
      </c>
      <c r="B2172" s="4" t="s">
        <v>49</v>
      </c>
      <c r="C2172" s="4" t="s">
        <v>12</v>
      </c>
      <c r="D2172" s="4">
        <v>26357922</v>
      </c>
      <c r="E2172" s="4">
        <v>15</v>
      </c>
      <c r="F2172" s="4" t="s">
        <v>1433</v>
      </c>
      <c r="G2172" s="4">
        <v>15</v>
      </c>
      <c r="H2172" s="4">
        <v>0</v>
      </c>
      <c r="I2172" s="4">
        <v>0</v>
      </c>
      <c r="J2172" s="4"/>
      <c r="K2172" s="4"/>
      <c r="L2172" s="4"/>
      <c r="M2172" s="4"/>
      <c r="N2172" s="4"/>
      <c r="O2172" s="4"/>
    </row>
    <row r="2173" spans="1:15" x14ac:dyDescent="0.3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</row>
    <row r="2174" spans="1:15" x14ac:dyDescent="0.3">
      <c r="A2174" s="4" t="s">
        <v>1131</v>
      </c>
      <c r="B2174" s="4" t="s">
        <v>49</v>
      </c>
      <c r="C2174" s="4" t="s">
        <v>12</v>
      </c>
      <c r="D2174" s="4">
        <v>26357934</v>
      </c>
      <c r="E2174" s="4">
        <v>9</v>
      </c>
      <c r="F2174" s="4" t="s">
        <v>1433</v>
      </c>
      <c r="G2174" s="4">
        <v>9</v>
      </c>
      <c r="H2174" s="4">
        <v>0</v>
      </c>
      <c r="I2174" s="4">
        <v>0</v>
      </c>
      <c r="J2174" s="4"/>
      <c r="K2174" s="4"/>
      <c r="L2174" s="4"/>
      <c r="M2174" s="4"/>
      <c r="N2174" s="4"/>
      <c r="O2174" s="4"/>
    </row>
    <row r="2175" spans="1:15" x14ac:dyDescent="0.3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</row>
    <row r="2176" spans="1:15" x14ac:dyDescent="0.3">
      <c r="A2176" s="4" t="s">
        <v>1132</v>
      </c>
      <c r="B2176" s="4" t="s">
        <v>49</v>
      </c>
      <c r="C2176" s="4" t="s">
        <v>12</v>
      </c>
      <c r="D2176" s="4">
        <v>26358642</v>
      </c>
      <c r="E2176" s="4">
        <v>24</v>
      </c>
      <c r="F2176" s="4" t="s">
        <v>1433</v>
      </c>
      <c r="G2176" s="4">
        <v>24</v>
      </c>
      <c r="H2176" s="4">
        <v>0</v>
      </c>
      <c r="I2176" s="4">
        <v>0</v>
      </c>
      <c r="J2176" s="4"/>
      <c r="K2176" s="4"/>
      <c r="L2176" s="4"/>
      <c r="M2176" s="4"/>
      <c r="N2176" s="4"/>
      <c r="O2176" s="4"/>
    </row>
    <row r="2177" spans="1:15" x14ac:dyDescent="0.3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</row>
    <row r="2178" spans="1:15" x14ac:dyDescent="0.3">
      <c r="A2178" s="4" t="s">
        <v>1133</v>
      </c>
      <c r="B2178" s="4" t="s">
        <v>49</v>
      </c>
      <c r="C2178" s="4" t="s">
        <v>12</v>
      </c>
      <c r="D2178" s="4">
        <v>26360298</v>
      </c>
      <c r="E2178" s="4">
        <v>6</v>
      </c>
      <c r="F2178" s="4" t="s">
        <v>1433</v>
      </c>
      <c r="G2178" s="4">
        <v>6</v>
      </c>
      <c r="H2178" s="4">
        <v>0</v>
      </c>
      <c r="I2178" s="4">
        <v>0</v>
      </c>
      <c r="J2178" s="4"/>
      <c r="K2178" s="4"/>
      <c r="L2178" s="4"/>
      <c r="M2178" s="4"/>
      <c r="N2178" s="4"/>
      <c r="O2178" s="4"/>
    </row>
    <row r="2179" spans="1:15" x14ac:dyDescent="0.3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</row>
    <row r="2180" spans="1:15" x14ac:dyDescent="0.3">
      <c r="A2180" s="4" t="s">
        <v>1134</v>
      </c>
      <c r="B2180" s="4" t="s">
        <v>49</v>
      </c>
      <c r="C2180" s="4" t="s">
        <v>12</v>
      </c>
      <c r="D2180" s="4">
        <v>26360568</v>
      </c>
      <c r="E2180" s="4">
        <v>18</v>
      </c>
      <c r="F2180" s="4" t="s">
        <v>1433</v>
      </c>
      <c r="G2180" s="4">
        <v>18</v>
      </c>
      <c r="H2180" s="4">
        <v>0</v>
      </c>
      <c r="I2180" s="4">
        <v>0</v>
      </c>
      <c r="J2180" s="4"/>
      <c r="K2180" s="4"/>
      <c r="L2180" s="4"/>
      <c r="M2180" s="4"/>
      <c r="N2180" s="4"/>
      <c r="O2180" s="4"/>
    </row>
    <row r="2181" spans="1:15" x14ac:dyDescent="0.3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</row>
    <row r="2182" spans="1:15" x14ac:dyDescent="0.3">
      <c r="A2182" s="4" t="s">
        <v>1135</v>
      </c>
      <c r="B2182" s="4" t="s">
        <v>49</v>
      </c>
      <c r="C2182" s="4" t="s">
        <v>12</v>
      </c>
      <c r="D2182" s="4">
        <v>26360868</v>
      </c>
      <c r="E2182" s="4">
        <v>12</v>
      </c>
      <c r="F2182" s="4" t="s">
        <v>1433</v>
      </c>
      <c r="G2182" s="4">
        <v>12</v>
      </c>
      <c r="H2182" s="4">
        <v>0</v>
      </c>
      <c r="I2182" s="4">
        <v>0</v>
      </c>
      <c r="J2182" s="4"/>
      <c r="K2182" s="4"/>
      <c r="L2182" s="4"/>
      <c r="M2182" s="4"/>
      <c r="N2182" s="4"/>
      <c r="O2182" s="4"/>
    </row>
    <row r="2183" spans="1:15" x14ac:dyDescent="0.3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</row>
    <row r="2184" spans="1:15" x14ac:dyDescent="0.3">
      <c r="A2184" s="4" t="s">
        <v>1136</v>
      </c>
      <c r="B2184" s="4" t="s">
        <v>49</v>
      </c>
      <c r="C2184" s="4" t="s">
        <v>12</v>
      </c>
      <c r="D2184" s="4">
        <v>26361708</v>
      </c>
      <c r="E2184" s="4">
        <v>9</v>
      </c>
      <c r="F2184" s="4" t="s">
        <v>1433</v>
      </c>
      <c r="G2184" s="4">
        <v>9</v>
      </c>
      <c r="H2184" s="4">
        <v>0</v>
      </c>
      <c r="I2184" s="4">
        <v>0</v>
      </c>
      <c r="J2184" s="4"/>
      <c r="K2184" s="4"/>
      <c r="L2184" s="4"/>
      <c r="M2184" s="4"/>
      <c r="N2184" s="4"/>
      <c r="O2184" s="4"/>
    </row>
    <row r="2185" spans="1:15" x14ac:dyDescent="0.3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</row>
    <row r="2186" spans="1:15" x14ac:dyDescent="0.3">
      <c r="A2186" s="4" t="s">
        <v>1137</v>
      </c>
      <c r="B2186" s="4" t="s">
        <v>49</v>
      </c>
      <c r="C2186" s="4" t="s">
        <v>12</v>
      </c>
      <c r="D2186" s="4">
        <v>26362854</v>
      </c>
      <c r="E2186" s="4">
        <v>229</v>
      </c>
      <c r="F2186" s="4" t="s">
        <v>1433</v>
      </c>
      <c r="G2186" s="4">
        <v>229</v>
      </c>
      <c r="H2186" s="4">
        <v>0</v>
      </c>
      <c r="I2186" s="4">
        <v>0</v>
      </c>
      <c r="J2186" s="4"/>
      <c r="K2186" s="4"/>
      <c r="L2186" s="4"/>
      <c r="M2186" s="4"/>
      <c r="N2186" s="4"/>
      <c r="O2186" s="4"/>
    </row>
    <row r="2187" spans="1:15" x14ac:dyDescent="0.3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</row>
    <row r="2188" spans="1:15" x14ac:dyDescent="0.3">
      <c r="A2188" s="4" t="s">
        <v>1138</v>
      </c>
      <c r="B2188" s="4" t="s">
        <v>49</v>
      </c>
      <c r="C2188" s="4" t="s">
        <v>12</v>
      </c>
      <c r="D2188" s="4">
        <v>26363058</v>
      </c>
      <c r="E2188" s="4">
        <v>115</v>
      </c>
      <c r="F2188" s="4" t="s">
        <v>1433</v>
      </c>
      <c r="G2188" s="4">
        <v>115</v>
      </c>
      <c r="H2188" s="4">
        <v>0</v>
      </c>
      <c r="I2188" s="4">
        <v>0</v>
      </c>
      <c r="J2188" s="4"/>
      <c r="K2188" s="4"/>
      <c r="L2188" s="4"/>
      <c r="M2188" s="4"/>
      <c r="N2188" s="4"/>
      <c r="O2188" s="4"/>
    </row>
    <row r="2189" spans="1:15" x14ac:dyDescent="0.3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</row>
    <row r="2190" spans="1:15" x14ac:dyDescent="0.3">
      <c r="A2190" s="4" t="s">
        <v>1139</v>
      </c>
      <c r="B2190" s="4" t="s">
        <v>49</v>
      </c>
      <c r="C2190" s="4" t="s">
        <v>12</v>
      </c>
      <c r="D2190" s="4">
        <v>26363196</v>
      </c>
      <c r="E2190" s="4">
        <v>340</v>
      </c>
      <c r="F2190" s="4" t="s">
        <v>1433</v>
      </c>
      <c r="G2190" s="4">
        <v>340</v>
      </c>
      <c r="H2190" s="4">
        <v>0</v>
      </c>
      <c r="I2190" s="4">
        <v>0</v>
      </c>
      <c r="J2190" s="4"/>
      <c r="K2190" s="4"/>
      <c r="L2190" s="4"/>
      <c r="M2190" s="4"/>
      <c r="N2190" s="4"/>
      <c r="O2190" s="4"/>
    </row>
    <row r="2191" spans="1:15" x14ac:dyDescent="0.3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</row>
    <row r="2192" spans="1:15" x14ac:dyDescent="0.3">
      <c r="A2192" s="4" t="s">
        <v>1140</v>
      </c>
      <c r="B2192" s="4" t="s">
        <v>49</v>
      </c>
      <c r="C2192" s="4" t="s">
        <v>12</v>
      </c>
      <c r="D2192" s="4">
        <v>26364114</v>
      </c>
      <c r="E2192" s="4">
        <v>16</v>
      </c>
      <c r="F2192" s="4" t="s">
        <v>1433</v>
      </c>
      <c r="G2192" s="4">
        <v>16</v>
      </c>
      <c r="H2192" s="4">
        <v>0</v>
      </c>
      <c r="I2192" s="4">
        <v>0</v>
      </c>
      <c r="J2192" s="4"/>
      <c r="K2192" s="4"/>
      <c r="L2192" s="4"/>
      <c r="M2192" s="4"/>
      <c r="N2192" s="4"/>
      <c r="O2192" s="4"/>
    </row>
    <row r="2193" spans="1:15" x14ac:dyDescent="0.3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</row>
    <row r="2194" spans="1:15" x14ac:dyDescent="0.3">
      <c r="A2194" s="4" t="s">
        <v>1141</v>
      </c>
      <c r="B2194" s="4" t="s">
        <v>49</v>
      </c>
      <c r="C2194" s="4" t="s">
        <v>12</v>
      </c>
      <c r="D2194" s="4">
        <v>26365980</v>
      </c>
      <c r="E2194" s="4">
        <v>17</v>
      </c>
      <c r="F2194" s="4" t="s">
        <v>1433</v>
      </c>
      <c r="G2194" s="4">
        <v>17</v>
      </c>
      <c r="H2194" s="4">
        <v>0</v>
      </c>
      <c r="I2194" s="4">
        <v>0</v>
      </c>
      <c r="J2194" s="4"/>
      <c r="K2194" s="4"/>
      <c r="L2194" s="4"/>
      <c r="M2194" s="4"/>
      <c r="N2194" s="4"/>
      <c r="O2194" s="4"/>
    </row>
    <row r="2195" spans="1:15" x14ac:dyDescent="0.3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</row>
    <row r="2196" spans="1:15" x14ac:dyDescent="0.3">
      <c r="A2196" s="4" t="s">
        <v>1142</v>
      </c>
      <c r="B2196" s="4" t="s">
        <v>49</v>
      </c>
      <c r="C2196" s="4" t="s">
        <v>12</v>
      </c>
      <c r="D2196" s="4">
        <v>26367096</v>
      </c>
      <c r="E2196" s="4">
        <v>24</v>
      </c>
      <c r="F2196" s="4" t="s">
        <v>1433</v>
      </c>
      <c r="G2196" s="4">
        <v>24</v>
      </c>
      <c r="H2196" s="4">
        <v>0</v>
      </c>
      <c r="I2196" s="4">
        <v>0</v>
      </c>
      <c r="J2196" s="4"/>
      <c r="K2196" s="4"/>
      <c r="L2196" s="4"/>
      <c r="M2196" s="4"/>
      <c r="N2196" s="4"/>
      <c r="O2196" s="4"/>
    </row>
    <row r="2197" spans="1:15" x14ac:dyDescent="0.3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</row>
    <row r="2198" spans="1:15" x14ac:dyDescent="0.3">
      <c r="A2198" s="4" t="s">
        <v>1143</v>
      </c>
      <c r="B2198" s="4" t="s">
        <v>49</v>
      </c>
      <c r="C2198" s="4" t="s">
        <v>12</v>
      </c>
      <c r="D2198" s="4">
        <v>26367114</v>
      </c>
      <c r="E2198" s="4">
        <v>20</v>
      </c>
      <c r="F2198" s="4" t="s">
        <v>1433</v>
      </c>
      <c r="G2198" s="4">
        <v>20</v>
      </c>
      <c r="H2198" s="4">
        <v>0</v>
      </c>
      <c r="I2198" s="4">
        <v>0</v>
      </c>
      <c r="J2198" s="4"/>
      <c r="K2198" s="4"/>
      <c r="L2198" s="4"/>
      <c r="M2198" s="4"/>
      <c r="N2198" s="4"/>
      <c r="O2198" s="4"/>
    </row>
    <row r="2199" spans="1:15" x14ac:dyDescent="0.3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</row>
    <row r="2200" spans="1:15" x14ac:dyDescent="0.3">
      <c r="A2200" s="4" t="s">
        <v>1144</v>
      </c>
      <c r="B2200" s="4" t="s">
        <v>49</v>
      </c>
      <c r="C2200" s="4" t="s">
        <v>12</v>
      </c>
      <c r="D2200" s="4">
        <v>26367804</v>
      </c>
      <c r="E2200" s="4">
        <v>36</v>
      </c>
      <c r="F2200" s="4" t="s">
        <v>1433</v>
      </c>
      <c r="G2200" s="4">
        <v>36</v>
      </c>
      <c r="H2200" s="4">
        <v>0</v>
      </c>
      <c r="I2200" s="4">
        <v>0</v>
      </c>
      <c r="J2200" s="4"/>
      <c r="K2200" s="4"/>
      <c r="L2200" s="4"/>
      <c r="M2200" s="4"/>
      <c r="N2200" s="4"/>
      <c r="O2200" s="4"/>
    </row>
    <row r="2201" spans="1:15" x14ac:dyDescent="0.3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</row>
    <row r="2202" spans="1:15" x14ac:dyDescent="0.3">
      <c r="A2202" s="4" t="s">
        <v>1145</v>
      </c>
      <c r="B2202" s="4" t="s">
        <v>49</v>
      </c>
      <c r="C2202" s="4" t="s">
        <v>12</v>
      </c>
      <c r="D2202" s="4">
        <v>26367930</v>
      </c>
      <c r="E2202" s="4">
        <v>17</v>
      </c>
      <c r="F2202" s="4" t="s">
        <v>1433</v>
      </c>
      <c r="G2202" s="4">
        <v>17</v>
      </c>
      <c r="H2202" s="4">
        <v>0</v>
      </c>
      <c r="I2202" s="4">
        <v>0</v>
      </c>
      <c r="J2202" s="4"/>
      <c r="K2202" s="4"/>
      <c r="L2202" s="4"/>
      <c r="M2202" s="4"/>
      <c r="N2202" s="4"/>
      <c r="O2202" s="4"/>
    </row>
    <row r="2203" spans="1:15" x14ac:dyDescent="0.3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</row>
    <row r="2204" spans="1:15" x14ac:dyDescent="0.3">
      <c r="A2204" s="4" t="s">
        <v>1146</v>
      </c>
      <c r="B2204" s="4" t="s">
        <v>49</v>
      </c>
      <c r="C2204" s="4" t="s">
        <v>12</v>
      </c>
      <c r="D2204" s="4">
        <v>26368710</v>
      </c>
      <c r="E2204" s="4">
        <v>26</v>
      </c>
      <c r="F2204" s="4" t="s">
        <v>1433</v>
      </c>
      <c r="G2204" s="4">
        <v>26</v>
      </c>
      <c r="H2204" s="4">
        <v>0</v>
      </c>
      <c r="I2204" s="4">
        <v>0</v>
      </c>
      <c r="J2204" s="4"/>
      <c r="K2204" s="4"/>
      <c r="L2204" s="4"/>
      <c r="M2204" s="4"/>
      <c r="N2204" s="4"/>
      <c r="O2204" s="4"/>
    </row>
    <row r="2205" spans="1:15" x14ac:dyDescent="0.3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</row>
    <row r="2206" spans="1:15" x14ac:dyDescent="0.3">
      <c r="A2206" s="4" t="s">
        <v>1147</v>
      </c>
      <c r="B2206" s="4" t="s">
        <v>49</v>
      </c>
      <c r="C2206" s="4" t="s">
        <v>12</v>
      </c>
      <c r="D2206" s="4">
        <v>26368914</v>
      </c>
      <c r="E2206" s="4">
        <v>4</v>
      </c>
      <c r="F2206" s="4" t="s">
        <v>1433</v>
      </c>
      <c r="G2206" s="4">
        <v>4</v>
      </c>
      <c r="H2206" s="4">
        <v>0</v>
      </c>
      <c r="I2206" s="4">
        <v>0</v>
      </c>
      <c r="J2206" s="4"/>
      <c r="K2206" s="4"/>
      <c r="L2206" s="4"/>
      <c r="M2206" s="4"/>
      <c r="N2206" s="4"/>
      <c r="O2206" s="4"/>
    </row>
    <row r="2207" spans="1:15" x14ac:dyDescent="0.3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</row>
    <row r="2208" spans="1:15" x14ac:dyDescent="0.3">
      <c r="A2208" s="4" t="s">
        <v>1148</v>
      </c>
      <c r="B2208" s="4" t="s">
        <v>49</v>
      </c>
      <c r="C2208" s="4" t="s">
        <v>12</v>
      </c>
      <c r="D2208" s="4">
        <v>26370024</v>
      </c>
      <c r="E2208" s="4">
        <v>25</v>
      </c>
      <c r="F2208" s="4" t="s">
        <v>1433</v>
      </c>
      <c r="G2208" s="4">
        <v>25</v>
      </c>
      <c r="H2208" s="4">
        <v>0</v>
      </c>
      <c r="I2208" s="4">
        <v>0</v>
      </c>
      <c r="J2208" s="4"/>
      <c r="K2208" s="4"/>
      <c r="L2208" s="4"/>
      <c r="M2208" s="4"/>
      <c r="N2208" s="4"/>
      <c r="O2208" s="4"/>
    </row>
    <row r="2209" spans="1:15" x14ac:dyDescent="0.3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</row>
    <row r="2210" spans="1:15" x14ac:dyDescent="0.3">
      <c r="A2210" s="4" t="s">
        <v>1149</v>
      </c>
      <c r="B2210" s="4" t="s">
        <v>49</v>
      </c>
      <c r="C2210" s="4" t="s">
        <v>12</v>
      </c>
      <c r="D2210" s="4">
        <v>26370468</v>
      </c>
      <c r="E2210" s="4">
        <v>332</v>
      </c>
      <c r="F2210" s="4" t="s">
        <v>1433</v>
      </c>
      <c r="G2210" s="4">
        <v>332</v>
      </c>
      <c r="H2210" s="4">
        <v>0</v>
      </c>
      <c r="I2210" s="4">
        <v>0</v>
      </c>
      <c r="J2210" s="4"/>
      <c r="K2210" s="4"/>
      <c r="L2210" s="4"/>
      <c r="M2210" s="4"/>
      <c r="N2210" s="4"/>
      <c r="O2210" s="4"/>
    </row>
    <row r="2211" spans="1:15" x14ac:dyDescent="0.3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</row>
    <row r="2212" spans="1:15" x14ac:dyDescent="0.3">
      <c r="A2212" s="4" t="s">
        <v>1150</v>
      </c>
      <c r="B2212" s="4" t="s">
        <v>49</v>
      </c>
      <c r="C2212" s="4" t="s">
        <v>12</v>
      </c>
      <c r="D2212" s="4">
        <v>26371344</v>
      </c>
      <c r="E2212" s="4">
        <v>116</v>
      </c>
      <c r="F2212" s="4" t="s">
        <v>1433</v>
      </c>
      <c r="G2212" s="4">
        <v>116</v>
      </c>
      <c r="H2212" s="4">
        <v>0</v>
      </c>
      <c r="I2212" s="4">
        <v>0</v>
      </c>
      <c r="J2212" s="4"/>
      <c r="K2212" s="4"/>
      <c r="L2212" s="4"/>
      <c r="M2212" s="4"/>
      <c r="N2212" s="4"/>
      <c r="O2212" s="4"/>
    </row>
    <row r="2213" spans="1:15" x14ac:dyDescent="0.3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</row>
    <row r="2214" spans="1:15" x14ac:dyDescent="0.3">
      <c r="A2214" s="4" t="s">
        <v>1151</v>
      </c>
      <c r="B2214" s="4" t="s">
        <v>49</v>
      </c>
      <c r="C2214" s="4" t="s">
        <v>12</v>
      </c>
      <c r="D2214" s="4">
        <v>26372766</v>
      </c>
      <c r="E2214" s="4">
        <v>94</v>
      </c>
      <c r="F2214" s="4" t="s">
        <v>1433</v>
      </c>
      <c r="G2214" s="4">
        <v>94</v>
      </c>
      <c r="H2214" s="4">
        <v>0</v>
      </c>
      <c r="I2214" s="4">
        <v>0</v>
      </c>
      <c r="J2214" s="4"/>
      <c r="K2214" s="4"/>
      <c r="L2214" s="4"/>
      <c r="M2214" s="4"/>
      <c r="N2214" s="4"/>
      <c r="O2214" s="4"/>
    </row>
    <row r="2215" spans="1:15" x14ac:dyDescent="0.3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</row>
    <row r="2216" spans="1:15" x14ac:dyDescent="0.3">
      <c r="A2216" s="4" t="s">
        <v>1152</v>
      </c>
      <c r="B2216" s="4" t="s">
        <v>49</v>
      </c>
      <c r="C2216" s="4" t="s">
        <v>12</v>
      </c>
      <c r="D2216" s="4">
        <v>26373576</v>
      </c>
      <c r="E2216" s="4">
        <v>42</v>
      </c>
      <c r="F2216" s="4" t="s">
        <v>1433</v>
      </c>
      <c r="G2216" s="4">
        <v>42</v>
      </c>
      <c r="H2216" s="4">
        <v>0</v>
      </c>
      <c r="I2216" s="4">
        <v>0</v>
      </c>
      <c r="J2216" s="4"/>
      <c r="K2216" s="4"/>
      <c r="L2216" s="4"/>
      <c r="M2216" s="4"/>
      <c r="N2216" s="4"/>
      <c r="O2216" s="4"/>
    </row>
    <row r="2217" spans="1:15" x14ac:dyDescent="0.3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</row>
    <row r="2218" spans="1:15" x14ac:dyDescent="0.3">
      <c r="A2218" s="4" t="s">
        <v>1153</v>
      </c>
      <c r="B2218" s="4" t="s">
        <v>49</v>
      </c>
      <c r="C2218" s="4" t="s">
        <v>12</v>
      </c>
      <c r="D2218" s="4">
        <v>26373858</v>
      </c>
      <c r="E2218" s="4">
        <v>25</v>
      </c>
      <c r="F2218" s="4" t="s">
        <v>1433</v>
      </c>
      <c r="G2218" s="4">
        <v>25</v>
      </c>
      <c r="H2218" s="4">
        <v>0</v>
      </c>
      <c r="I2218" s="4">
        <v>0</v>
      </c>
      <c r="J2218" s="4"/>
      <c r="K2218" s="4"/>
      <c r="L2218" s="4"/>
      <c r="M2218" s="4"/>
      <c r="N2218" s="4"/>
      <c r="O2218" s="4"/>
    </row>
    <row r="2219" spans="1:15" x14ac:dyDescent="0.3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</row>
    <row r="2220" spans="1:15" x14ac:dyDescent="0.3">
      <c r="A2220" s="4" t="s">
        <v>1154</v>
      </c>
      <c r="B2220" s="4" t="s">
        <v>49</v>
      </c>
      <c r="C2220" s="4" t="s">
        <v>12</v>
      </c>
      <c r="D2220" s="4">
        <v>26374338</v>
      </c>
      <c r="E2220" s="4">
        <v>106</v>
      </c>
      <c r="F2220" s="4" t="s">
        <v>1433</v>
      </c>
      <c r="G2220" s="4">
        <v>106</v>
      </c>
      <c r="H2220" s="4">
        <v>0</v>
      </c>
      <c r="I2220" s="4">
        <v>0</v>
      </c>
      <c r="J2220" s="4"/>
      <c r="K2220" s="4"/>
      <c r="L2220" s="4"/>
      <c r="M2220" s="4"/>
      <c r="N2220" s="4"/>
      <c r="O2220" s="4"/>
    </row>
    <row r="2221" spans="1:15" x14ac:dyDescent="0.3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</row>
    <row r="2222" spans="1:15" x14ac:dyDescent="0.3">
      <c r="A2222" s="4" t="s">
        <v>1155</v>
      </c>
      <c r="B2222" s="4" t="s">
        <v>49</v>
      </c>
      <c r="C2222" s="4" t="s">
        <v>12</v>
      </c>
      <c r="D2222" s="4">
        <v>26374458</v>
      </c>
      <c r="E2222" s="4">
        <v>55</v>
      </c>
      <c r="F2222" s="4" t="s">
        <v>1433</v>
      </c>
      <c r="G2222" s="4">
        <v>55</v>
      </c>
      <c r="H2222" s="4">
        <v>0</v>
      </c>
      <c r="I2222" s="4">
        <v>0</v>
      </c>
      <c r="J2222" s="4"/>
      <c r="K2222" s="4"/>
      <c r="L2222" s="4"/>
      <c r="M2222" s="4"/>
      <c r="N2222" s="4"/>
      <c r="O2222" s="4"/>
    </row>
    <row r="2223" spans="1:15" x14ac:dyDescent="0.3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</row>
    <row r="2224" spans="1:15" x14ac:dyDescent="0.3">
      <c r="A2224" s="4" t="s">
        <v>1156</v>
      </c>
      <c r="B2224" s="4" t="s">
        <v>49</v>
      </c>
      <c r="C2224" s="4" t="s">
        <v>12</v>
      </c>
      <c r="D2224" s="4">
        <v>26374638</v>
      </c>
      <c r="E2224" s="4">
        <v>27</v>
      </c>
      <c r="F2224" s="4" t="s">
        <v>1433</v>
      </c>
      <c r="G2224" s="4">
        <v>27</v>
      </c>
      <c r="H2224" s="4">
        <v>0</v>
      </c>
      <c r="I2224" s="4">
        <v>0</v>
      </c>
      <c r="J2224" s="4"/>
      <c r="K2224" s="4"/>
      <c r="L2224" s="4"/>
      <c r="M2224" s="4"/>
      <c r="N2224" s="4"/>
      <c r="O2224" s="4"/>
    </row>
    <row r="2225" spans="1:15" x14ac:dyDescent="0.3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</row>
    <row r="2226" spans="1:15" x14ac:dyDescent="0.3">
      <c r="A2226" s="4" t="s">
        <v>1157</v>
      </c>
      <c r="B2226" s="4" t="s">
        <v>49</v>
      </c>
      <c r="C2226" s="4" t="s">
        <v>12</v>
      </c>
      <c r="D2226" s="4">
        <v>26374722</v>
      </c>
      <c r="E2226" s="4">
        <v>461</v>
      </c>
      <c r="F2226" s="4" t="s">
        <v>1433</v>
      </c>
      <c r="G2226" s="4">
        <v>461</v>
      </c>
      <c r="H2226" s="4">
        <v>0</v>
      </c>
      <c r="I2226" s="4">
        <v>0</v>
      </c>
      <c r="J2226" s="4"/>
      <c r="K2226" s="4"/>
      <c r="L2226" s="4"/>
      <c r="M2226" s="4"/>
      <c r="N2226" s="4"/>
      <c r="O2226" s="4"/>
    </row>
    <row r="2227" spans="1:15" x14ac:dyDescent="0.3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</row>
    <row r="2228" spans="1:15" x14ac:dyDescent="0.3">
      <c r="A2228" s="4" t="s">
        <v>1158</v>
      </c>
      <c r="B2228" s="4" t="s">
        <v>49</v>
      </c>
      <c r="C2228" s="4" t="s">
        <v>12</v>
      </c>
      <c r="D2228" s="4">
        <v>26374794</v>
      </c>
      <c r="E2228" s="4">
        <v>39</v>
      </c>
      <c r="F2228" s="4" t="s">
        <v>1433</v>
      </c>
      <c r="G2228" s="4">
        <v>39</v>
      </c>
      <c r="H2228" s="4">
        <v>0</v>
      </c>
      <c r="I2228" s="4">
        <v>0</v>
      </c>
      <c r="J2228" s="4"/>
      <c r="K2228" s="4"/>
      <c r="L2228" s="4"/>
      <c r="M2228" s="4"/>
      <c r="N2228" s="4"/>
      <c r="O2228" s="4"/>
    </row>
    <row r="2229" spans="1:15" x14ac:dyDescent="0.3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</row>
    <row r="2230" spans="1:15" x14ac:dyDescent="0.3">
      <c r="A2230" s="4" t="s">
        <v>1159</v>
      </c>
      <c r="B2230" s="4" t="s">
        <v>49</v>
      </c>
      <c r="C2230" s="4" t="s">
        <v>12</v>
      </c>
      <c r="D2230" s="4">
        <v>26375358</v>
      </c>
      <c r="E2230" s="4">
        <v>517</v>
      </c>
      <c r="F2230" s="4" t="s">
        <v>1433</v>
      </c>
      <c r="G2230" s="4">
        <v>517</v>
      </c>
      <c r="H2230" s="4">
        <v>0</v>
      </c>
      <c r="I2230" s="4">
        <v>0</v>
      </c>
      <c r="J2230" s="4"/>
      <c r="K2230" s="4"/>
      <c r="L2230" s="4"/>
      <c r="M2230" s="4"/>
      <c r="N2230" s="4"/>
      <c r="O2230" s="4"/>
    </row>
    <row r="2231" spans="1:15" x14ac:dyDescent="0.3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</row>
    <row r="2232" spans="1:15" x14ac:dyDescent="0.3">
      <c r="A2232" s="4" t="s">
        <v>1160</v>
      </c>
      <c r="B2232" s="4" t="s">
        <v>49</v>
      </c>
      <c r="C2232" s="4" t="s">
        <v>12</v>
      </c>
      <c r="D2232" s="4">
        <v>26376180</v>
      </c>
      <c r="E2232" s="4">
        <v>81</v>
      </c>
      <c r="F2232" s="4" t="s">
        <v>1433</v>
      </c>
      <c r="G2232" s="4">
        <v>81</v>
      </c>
      <c r="H2232" s="4">
        <v>0</v>
      </c>
      <c r="I2232" s="4">
        <v>0</v>
      </c>
      <c r="J2232" s="4"/>
      <c r="K2232" s="4"/>
      <c r="L2232" s="4"/>
      <c r="M2232" s="4"/>
      <c r="N2232" s="4"/>
      <c r="O2232" s="4"/>
    </row>
    <row r="2233" spans="1:15" x14ac:dyDescent="0.3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</row>
    <row r="2234" spans="1:15" x14ac:dyDescent="0.3">
      <c r="A2234" s="4" t="s">
        <v>1161</v>
      </c>
      <c r="B2234" s="4" t="s">
        <v>49</v>
      </c>
      <c r="C2234" s="4" t="s">
        <v>12</v>
      </c>
      <c r="D2234" s="4">
        <v>26376810</v>
      </c>
      <c r="E2234" s="4">
        <v>27</v>
      </c>
      <c r="F2234" s="4" t="s">
        <v>1433</v>
      </c>
      <c r="G2234" s="4">
        <v>27</v>
      </c>
      <c r="H2234" s="4">
        <v>0</v>
      </c>
      <c r="I2234" s="4">
        <v>0</v>
      </c>
      <c r="J2234" s="4"/>
      <c r="K2234" s="4"/>
      <c r="L2234" s="4"/>
      <c r="M2234" s="4"/>
      <c r="N2234" s="4"/>
      <c r="O2234" s="4"/>
    </row>
    <row r="2235" spans="1:15" x14ac:dyDescent="0.3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</row>
    <row r="2236" spans="1:15" x14ac:dyDescent="0.3">
      <c r="A2236" s="4" t="s">
        <v>1162</v>
      </c>
      <c r="B2236" s="4" t="s">
        <v>49</v>
      </c>
      <c r="C2236" s="4" t="s">
        <v>12</v>
      </c>
      <c r="D2236" s="4">
        <v>26377134</v>
      </c>
      <c r="E2236" s="4">
        <v>43</v>
      </c>
      <c r="F2236" s="4" t="s">
        <v>1433</v>
      </c>
      <c r="G2236" s="4">
        <v>43</v>
      </c>
      <c r="H2236" s="4">
        <v>0</v>
      </c>
      <c r="I2236" s="4">
        <v>0</v>
      </c>
      <c r="J2236" s="4"/>
      <c r="K2236" s="4"/>
      <c r="L2236" s="4"/>
      <c r="M2236" s="4"/>
      <c r="N2236" s="4"/>
      <c r="O2236" s="4"/>
    </row>
    <row r="2237" spans="1:15" x14ac:dyDescent="0.3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</row>
    <row r="2238" spans="1:15" x14ac:dyDescent="0.3">
      <c r="A2238" s="4" t="s">
        <v>1163</v>
      </c>
      <c r="B2238" s="4" t="s">
        <v>49</v>
      </c>
      <c r="C2238" s="4" t="s">
        <v>12</v>
      </c>
      <c r="D2238" s="4">
        <v>26378172</v>
      </c>
      <c r="E2238" s="4">
        <v>28</v>
      </c>
      <c r="F2238" s="4" t="s">
        <v>1433</v>
      </c>
      <c r="G2238" s="4">
        <v>28</v>
      </c>
      <c r="H2238" s="4">
        <v>0</v>
      </c>
      <c r="I2238" s="4">
        <v>0</v>
      </c>
      <c r="J2238" s="4"/>
      <c r="K2238" s="4"/>
      <c r="L2238" s="4"/>
      <c r="M2238" s="4"/>
      <c r="N2238" s="4"/>
      <c r="O2238" s="4"/>
    </row>
    <row r="2239" spans="1:15" x14ac:dyDescent="0.3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</row>
    <row r="2240" spans="1:15" x14ac:dyDescent="0.3">
      <c r="A2240" s="4" t="s">
        <v>1164</v>
      </c>
      <c r="B2240" s="4" t="s">
        <v>49</v>
      </c>
      <c r="C2240" s="4" t="s">
        <v>12</v>
      </c>
      <c r="D2240" s="4">
        <v>26378208</v>
      </c>
      <c r="E2240" s="4">
        <v>58</v>
      </c>
      <c r="F2240" s="4" t="s">
        <v>1433</v>
      </c>
      <c r="G2240" s="4">
        <v>58</v>
      </c>
      <c r="H2240" s="4">
        <v>0</v>
      </c>
      <c r="I2240" s="4">
        <v>0</v>
      </c>
      <c r="J2240" s="4"/>
      <c r="K2240" s="4"/>
      <c r="L2240" s="4"/>
      <c r="M2240" s="4"/>
      <c r="N2240" s="4"/>
      <c r="O2240" s="4"/>
    </row>
    <row r="2241" spans="1:15" x14ac:dyDescent="0.3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</row>
    <row r="2242" spans="1:15" x14ac:dyDescent="0.3">
      <c r="A2242" s="4" t="s">
        <v>1165</v>
      </c>
      <c r="B2242" s="4" t="s">
        <v>49</v>
      </c>
      <c r="C2242" s="4" t="s">
        <v>12</v>
      </c>
      <c r="D2242" s="4">
        <v>26378268</v>
      </c>
      <c r="E2242" s="4">
        <v>15</v>
      </c>
      <c r="F2242" s="4" t="s">
        <v>1433</v>
      </c>
      <c r="G2242" s="4">
        <v>15</v>
      </c>
      <c r="H2242" s="4">
        <v>0</v>
      </c>
      <c r="I2242" s="4">
        <v>0</v>
      </c>
      <c r="J2242" s="4"/>
      <c r="K2242" s="4"/>
      <c r="L2242" s="4"/>
      <c r="M2242" s="4"/>
      <c r="N2242" s="4"/>
      <c r="O2242" s="4"/>
    </row>
    <row r="2243" spans="1:15" x14ac:dyDescent="0.3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</row>
    <row r="2244" spans="1:15" x14ac:dyDescent="0.3">
      <c r="A2244" s="4" t="s">
        <v>1166</v>
      </c>
      <c r="B2244" s="4" t="s">
        <v>49</v>
      </c>
      <c r="C2244" s="4" t="s">
        <v>12</v>
      </c>
      <c r="D2244" s="4">
        <v>26379066</v>
      </c>
      <c r="E2244" s="4">
        <v>9</v>
      </c>
      <c r="F2244" s="4" t="s">
        <v>1433</v>
      </c>
      <c r="G2244" s="4">
        <v>9</v>
      </c>
      <c r="H2244" s="4">
        <v>0</v>
      </c>
      <c r="I2244" s="4">
        <v>0</v>
      </c>
      <c r="J2244" s="4"/>
      <c r="K2244" s="4"/>
      <c r="L2244" s="4"/>
      <c r="M2244" s="4"/>
      <c r="N2244" s="4"/>
      <c r="O2244" s="4"/>
    </row>
    <row r="2245" spans="1:15" x14ac:dyDescent="0.3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</row>
    <row r="2246" spans="1:15" x14ac:dyDescent="0.3">
      <c r="A2246" s="4" t="s">
        <v>1167</v>
      </c>
      <c r="B2246" s="4" t="s">
        <v>49</v>
      </c>
      <c r="C2246" s="4" t="s">
        <v>12</v>
      </c>
      <c r="D2246" s="4">
        <v>26379090</v>
      </c>
      <c r="E2246" s="4">
        <v>9</v>
      </c>
      <c r="F2246" s="4" t="s">
        <v>1433</v>
      </c>
      <c r="G2246" s="4">
        <v>9</v>
      </c>
      <c r="H2246" s="4">
        <v>0</v>
      </c>
      <c r="I2246" s="4">
        <v>0</v>
      </c>
      <c r="J2246" s="4"/>
      <c r="K2246" s="4"/>
      <c r="L2246" s="4"/>
      <c r="M2246" s="4"/>
      <c r="N2246" s="4"/>
      <c r="O2246" s="4"/>
    </row>
    <row r="2247" spans="1:15" x14ac:dyDescent="0.3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</row>
    <row r="2248" spans="1:15" x14ac:dyDescent="0.3">
      <c r="A2248" s="4" t="s">
        <v>1168</v>
      </c>
      <c r="B2248" s="4" t="s">
        <v>49</v>
      </c>
      <c r="C2248" s="4" t="s">
        <v>12</v>
      </c>
      <c r="D2248" s="4">
        <v>26379126</v>
      </c>
      <c r="E2248" s="4">
        <v>11</v>
      </c>
      <c r="F2248" s="4" t="s">
        <v>1433</v>
      </c>
      <c r="G2248" s="4">
        <v>11</v>
      </c>
      <c r="H2248" s="4">
        <v>0</v>
      </c>
      <c r="I2248" s="4">
        <v>0</v>
      </c>
      <c r="J2248" s="4"/>
      <c r="K2248" s="4"/>
      <c r="L2248" s="4"/>
      <c r="M2248" s="4"/>
      <c r="N2248" s="4"/>
      <c r="O2248" s="4"/>
    </row>
    <row r="2249" spans="1:15" x14ac:dyDescent="0.3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</row>
    <row r="2250" spans="1:15" x14ac:dyDescent="0.3">
      <c r="A2250" s="4" t="s">
        <v>1169</v>
      </c>
      <c r="B2250" s="4" t="s">
        <v>49</v>
      </c>
      <c r="C2250" s="4" t="s">
        <v>12</v>
      </c>
      <c r="D2250" s="4">
        <v>26379390</v>
      </c>
      <c r="E2250" s="4">
        <v>18</v>
      </c>
      <c r="F2250" s="4" t="s">
        <v>1433</v>
      </c>
      <c r="G2250" s="4">
        <v>18</v>
      </c>
      <c r="H2250" s="4">
        <v>0</v>
      </c>
      <c r="I2250" s="4">
        <v>0</v>
      </c>
      <c r="J2250" s="4"/>
      <c r="K2250" s="4"/>
      <c r="L2250" s="4"/>
      <c r="M2250" s="4"/>
      <c r="N2250" s="4"/>
      <c r="O2250" s="4"/>
    </row>
    <row r="2251" spans="1:15" x14ac:dyDescent="0.3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</row>
    <row r="2252" spans="1:15" x14ac:dyDescent="0.3">
      <c r="A2252" s="4" t="s">
        <v>1170</v>
      </c>
      <c r="B2252" s="4" t="s">
        <v>49</v>
      </c>
      <c r="C2252" s="4" t="s">
        <v>12</v>
      </c>
      <c r="D2252" s="4">
        <v>26379882</v>
      </c>
      <c r="E2252" s="4">
        <v>15</v>
      </c>
      <c r="F2252" s="4" t="s">
        <v>1433</v>
      </c>
      <c r="G2252" s="4">
        <v>15</v>
      </c>
      <c r="H2252" s="4">
        <v>0</v>
      </c>
      <c r="I2252" s="4">
        <v>0</v>
      </c>
      <c r="J2252" s="4"/>
      <c r="K2252" s="4"/>
      <c r="L2252" s="4"/>
      <c r="M2252" s="4"/>
      <c r="N2252" s="4"/>
      <c r="O2252" s="4"/>
    </row>
    <row r="2253" spans="1:15" x14ac:dyDescent="0.3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</row>
    <row r="2254" spans="1:15" x14ac:dyDescent="0.3">
      <c r="A2254" s="4" t="s">
        <v>1171</v>
      </c>
      <c r="B2254" s="4" t="s">
        <v>49</v>
      </c>
      <c r="C2254" s="4" t="s">
        <v>12</v>
      </c>
      <c r="D2254" s="4">
        <v>26381322</v>
      </c>
      <c r="E2254" s="4">
        <v>29</v>
      </c>
      <c r="F2254" s="4" t="s">
        <v>1433</v>
      </c>
      <c r="G2254" s="4">
        <v>29</v>
      </c>
      <c r="H2254" s="4">
        <v>0</v>
      </c>
      <c r="I2254" s="4">
        <v>0</v>
      </c>
      <c r="J2254" s="4"/>
      <c r="K2254" s="4"/>
      <c r="L2254" s="4"/>
      <c r="M2254" s="4"/>
      <c r="N2254" s="4"/>
      <c r="O2254" s="4"/>
    </row>
    <row r="2255" spans="1:15" x14ac:dyDescent="0.3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</row>
    <row r="2256" spans="1:15" x14ac:dyDescent="0.3">
      <c r="A2256" s="4" t="s">
        <v>1172</v>
      </c>
      <c r="B2256" s="4" t="s">
        <v>49</v>
      </c>
      <c r="C2256" s="4" t="s">
        <v>12</v>
      </c>
      <c r="D2256" s="4">
        <v>26381934</v>
      </c>
      <c r="E2256" s="4">
        <v>5</v>
      </c>
      <c r="F2256" s="4" t="s">
        <v>1433</v>
      </c>
      <c r="G2256" s="4">
        <v>5</v>
      </c>
      <c r="H2256" s="4">
        <v>0</v>
      </c>
      <c r="I2256" s="4">
        <v>0</v>
      </c>
      <c r="J2256" s="4"/>
      <c r="K2256" s="4"/>
      <c r="L2256" s="4"/>
      <c r="M2256" s="4"/>
      <c r="N2256" s="4"/>
      <c r="O2256" s="4"/>
    </row>
    <row r="2257" spans="1:15" x14ac:dyDescent="0.3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</row>
    <row r="2258" spans="1:15" x14ac:dyDescent="0.3">
      <c r="A2258" s="4" t="s">
        <v>1173</v>
      </c>
      <c r="B2258" s="4" t="s">
        <v>49</v>
      </c>
      <c r="C2258" s="4" t="s">
        <v>12</v>
      </c>
      <c r="D2258" s="4">
        <v>26382108</v>
      </c>
      <c r="E2258" s="4">
        <v>16</v>
      </c>
      <c r="F2258" s="4" t="s">
        <v>1433</v>
      </c>
      <c r="G2258" s="4">
        <v>16</v>
      </c>
      <c r="H2258" s="4">
        <v>0</v>
      </c>
      <c r="I2258" s="4">
        <v>0</v>
      </c>
      <c r="J2258" s="4"/>
      <c r="K2258" s="4"/>
      <c r="L2258" s="4"/>
      <c r="M2258" s="4"/>
      <c r="N2258" s="4"/>
      <c r="O2258" s="4"/>
    </row>
    <row r="2259" spans="1:15" x14ac:dyDescent="0.3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</row>
    <row r="2260" spans="1:15" x14ac:dyDescent="0.3">
      <c r="A2260" s="4" t="s">
        <v>1174</v>
      </c>
      <c r="B2260" s="4" t="s">
        <v>49</v>
      </c>
      <c r="C2260" s="4" t="s">
        <v>12</v>
      </c>
      <c r="D2260" s="4">
        <v>26382642</v>
      </c>
      <c r="E2260" s="4">
        <v>22</v>
      </c>
      <c r="F2260" s="4" t="s">
        <v>1433</v>
      </c>
      <c r="G2260" s="4">
        <v>22</v>
      </c>
      <c r="H2260" s="4">
        <v>0</v>
      </c>
      <c r="I2260" s="4">
        <v>0</v>
      </c>
      <c r="J2260" s="4"/>
      <c r="K2260" s="4"/>
      <c r="L2260" s="4"/>
      <c r="M2260" s="4"/>
      <c r="N2260" s="4"/>
      <c r="O2260" s="4"/>
    </row>
    <row r="2261" spans="1:15" x14ac:dyDescent="0.3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</row>
    <row r="2262" spans="1:15" x14ac:dyDescent="0.3">
      <c r="A2262" s="4" t="s">
        <v>1175</v>
      </c>
      <c r="B2262" s="4" t="s">
        <v>49</v>
      </c>
      <c r="C2262" s="4" t="s">
        <v>12</v>
      </c>
      <c r="D2262" s="4">
        <v>26382972</v>
      </c>
      <c r="E2262" s="4">
        <v>131</v>
      </c>
      <c r="F2262" s="4" t="s">
        <v>1433</v>
      </c>
      <c r="G2262" s="4">
        <v>131</v>
      </c>
      <c r="H2262" s="4">
        <v>0</v>
      </c>
      <c r="I2262" s="4">
        <v>0</v>
      </c>
      <c r="J2262" s="4"/>
      <c r="K2262" s="4"/>
      <c r="L2262" s="4"/>
      <c r="M2262" s="4"/>
      <c r="N2262" s="4"/>
      <c r="O2262" s="4"/>
    </row>
    <row r="2263" spans="1:15" x14ac:dyDescent="0.3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</row>
    <row r="2264" spans="1:15" x14ac:dyDescent="0.3">
      <c r="A2264" s="4" t="s">
        <v>1176</v>
      </c>
      <c r="B2264" s="4" t="s">
        <v>49</v>
      </c>
      <c r="C2264" s="4" t="s">
        <v>12</v>
      </c>
      <c r="D2264" s="4">
        <v>26383752</v>
      </c>
      <c r="E2264" s="4">
        <v>90</v>
      </c>
      <c r="F2264" s="4" t="s">
        <v>1433</v>
      </c>
      <c r="G2264" s="4">
        <v>90</v>
      </c>
      <c r="H2264" s="4">
        <v>0</v>
      </c>
      <c r="I2264" s="4">
        <v>0</v>
      </c>
      <c r="J2264" s="4"/>
      <c r="K2264" s="4"/>
      <c r="L2264" s="4"/>
      <c r="M2264" s="4"/>
      <c r="N2264" s="4"/>
      <c r="O2264" s="4"/>
    </row>
    <row r="2265" spans="1:15" x14ac:dyDescent="0.3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</row>
    <row r="2266" spans="1:15" x14ac:dyDescent="0.3">
      <c r="A2266" s="4" t="s">
        <v>1177</v>
      </c>
      <c r="B2266" s="4" t="s">
        <v>49</v>
      </c>
      <c r="C2266" s="4" t="s">
        <v>12</v>
      </c>
      <c r="D2266" s="4">
        <v>26383812</v>
      </c>
      <c r="E2266" s="4">
        <v>5</v>
      </c>
      <c r="F2266" s="4" t="s">
        <v>1433</v>
      </c>
      <c r="G2266" s="4">
        <v>5</v>
      </c>
      <c r="H2266" s="4">
        <v>0</v>
      </c>
      <c r="I2266" s="4">
        <v>0</v>
      </c>
      <c r="J2266" s="4"/>
      <c r="K2266" s="4"/>
      <c r="L2266" s="4"/>
      <c r="M2266" s="4"/>
      <c r="N2266" s="4"/>
      <c r="O2266" s="4"/>
    </row>
    <row r="2267" spans="1:15" x14ac:dyDescent="0.3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</row>
    <row r="2268" spans="1:15" x14ac:dyDescent="0.3">
      <c r="A2268" s="4" t="s">
        <v>1178</v>
      </c>
      <c r="B2268" s="4" t="s">
        <v>49</v>
      </c>
      <c r="C2268" s="4" t="s">
        <v>12</v>
      </c>
      <c r="D2268" s="4">
        <v>26383890</v>
      </c>
      <c r="E2268" s="4">
        <v>32</v>
      </c>
      <c r="F2268" s="4" t="s">
        <v>1433</v>
      </c>
      <c r="G2268" s="4">
        <v>32</v>
      </c>
      <c r="H2268" s="4">
        <v>0</v>
      </c>
      <c r="I2268" s="4">
        <v>0</v>
      </c>
      <c r="J2268" s="4"/>
      <c r="K2268" s="4"/>
      <c r="L2268" s="4"/>
      <c r="M2268" s="4"/>
      <c r="N2268" s="4"/>
      <c r="O2268" s="4"/>
    </row>
    <row r="2269" spans="1:15" x14ac:dyDescent="0.3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</row>
    <row r="2270" spans="1:15" x14ac:dyDescent="0.3">
      <c r="A2270" s="4" t="s">
        <v>1179</v>
      </c>
      <c r="B2270" s="4" t="s">
        <v>49</v>
      </c>
      <c r="C2270" s="4" t="s">
        <v>12</v>
      </c>
      <c r="D2270" s="4">
        <v>26383986</v>
      </c>
      <c r="E2270" s="4">
        <v>128</v>
      </c>
      <c r="F2270" s="4" t="s">
        <v>1433</v>
      </c>
      <c r="G2270" s="4">
        <v>128</v>
      </c>
      <c r="H2270" s="4">
        <v>0</v>
      </c>
      <c r="I2270" s="4">
        <v>0</v>
      </c>
      <c r="J2270" s="4"/>
      <c r="K2270" s="4"/>
      <c r="L2270" s="4"/>
      <c r="M2270" s="4"/>
      <c r="N2270" s="4"/>
      <c r="O2270" s="4"/>
    </row>
    <row r="2271" spans="1:15" x14ac:dyDescent="0.3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</row>
    <row r="2272" spans="1:15" x14ac:dyDescent="0.3">
      <c r="A2272" s="4" t="s">
        <v>1180</v>
      </c>
      <c r="B2272" s="4" t="s">
        <v>49</v>
      </c>
      <c r="C2272" s="4" t="s">
        <v>12</v>
      </c>
      <c r="D2272" s="4">
        <v>26384010</v>
      </c>
      <c r="E2272" s="4">
        <v>44</v>
      </c>
      <c r="F2272" s="4" t="s">
        <v>1433</v>
      </c>
      <c r="G2272" s="4">
        <v>44</v>
      </c>
      <c r="H2272" s="4">
        <v>0</v>
      </c>
      <c r="I2272" s="4">
        <v>0</v>
      </c>
      <c r="J2272" s="4"/>
      <c r="K2272" s="4"/>
      <c r="L2272" s="4"/>
      <c r="M2272" s="4"/>
      <c r="N2272" s="4"/>
      <c r="O2272" s="4"/>
    </row>
    <row r="2273" spans="1:15" x14ac:dyDescent="0.3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</row>
    <row r="2274" spans="1:15" x14ac:dyDescent="0.3">
      <c r="A2274" s="4" t="s">
        <v>1181</v>
      </c>
      <c r="B2274" s="4" t="s">
        <v>49</v>
      </c>
      <c r="C2274" s="4" t="s">
        <v>12</v>
      </c>
      <c r="D2274" s="4">
        <v>26384016</v>
      </c>
      <c r="E2274" s="4">
        <v>108</v>
      </c>
      <c r="F2274" s="4" t="s">
        <v>1433</v>
      </c>
      <c r="G2274" s="4">
        <v>108</v>
      </c>
      <c r="H2274" s="4">
        <v>0</v>
      </c>
      <c r="I2274" s="4">
        <v>0</v>
      </c>
      <c r="J2274" s="4"/>
      <c r="K2274" s="4"/>
      <c r="L2274" s="4"/>
      <c r="M2274" s="4"/>
      <c r="N2274" s="4"/>
      <c r="O2274" s="4"/>
    </row>
    <row r="2275" spans="1:15" x14ac:dyDescent="0.3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</row>
    <row r="2276" spans="1:15" x14ac:dyDescent="0.3">
      <c r="A2276" s="4" t="s">
        <v>1182</v>
      </c>
      <c r="B2276" s="4" t="s">
        <v>49</v>
      </c>
      <c r="C2276" s="4" t="s">
        <v>12</v>
      </c>
      <c r="D2276" s="4">
        <v>26384142</v>
      </c>
      <c r="E2276" s="4">
        <v>2</v>
      </c>
      <c r="F2276" s="4" t="s">
        <v>1433</v>
      </c>
      <c r="G2276" s="4">
        <v>2</v>
      </c>
      <c r="H2276" s="4">
        <v>0</v>
      </c>
      <c r="I2276" s="4">
        <v>0</v>
      </c>
      <c r="J2276" s="4"/>
      <c r="K2276" s="4"/>
      <c r="L2276" s="4"/>
      <c r="M2276" s="4"/>
      <c r="N2276" s="4"/>
      <c r="O2276" s="4"/>
    </row>
    <row r="2277" spans="1:15" x14ac:dyDescent="0.3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</row>
    <row r="2278" spans="1:15" x14ac:dyDescent="0.3">
      <c r="A2278" s="4" t="s">
        <v>1183</v>
      </c>
      <c r="B2278" s="4" t="s">
        <v>49</v>
      </c>
      <c r="C2278" s="4" t="s">
        <v>12</v>
      </c>
      <c r="D2278" s="4">
        <v>26384340</v>
      </c>
      <c r="E2278" s="4">
        <v>8</v>
      </c>
      <c r="F2278" s="4" t="s">
        <v>1433</v>
      </c>
      <c r="G2278" s="4">
        <v>8</v>
      </c>
      <c r="H2278" s="4">
        <v>0</v>
      </c>
      <c r="I2278" s="4">
        <v>0</v>
      </c>
      <c r="J2278" s="4"/>
      <c r="K2278" s="4"/>
      <c r="L2278" s="4"/>
      <c r="M2278" s="4"/>
      <c r="N2278" s="4"/>
      <c r="O2278" s="4"/>
    </row>
    <row r="2279" spans="1:15" x14ac:dyDescent="0.3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</row>
    <row r="2280" spans="1:15" x14ac:dyDescent="0.3">
      <c r="A2280" s="4" t="s">
        <v>1184</v>
      </c>
      <c r="B2280" s="4" t="s">
        <v>49</v>
      </c>
      <c r="C2280" s="4" t="s">
        <v>12</v>
      </c>
      <c r="D2280" s="4">
        <v>26384346</v>
      </c>
      <c r="E2280" s="4">
        <v>20</v>
      </c>
      <c r="F2280" s="4" t="s">
        <v>1433</v>
      </c>
      <c r="G2280" s="4">
        <v>20</v>
      </c>
      <c r="H2280" s="4">
        <v>0</v>
      </c>
      <c r="I2280" s="4">
        <v>0</v>
      </c>
      <c r="J2280" s="4"/>
      <c r="K2280" s="4"/>
      <c r="L2280" s="4"/>
      <c r="M2280" s="4"/>
      <c r="N2280" s="4"/>
      <c r="O2280" s="4"/>
    </row>
    <row r="2281" spans="1:15" x14ac:dyDescent="0.3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</row>
    <row r="2282" spans="1:15" x14ac:dyDescent="0.3">
      <c r="A2282" s="4" t="s">
        <v>1185</v>
      </c>
      <c r="B2282" s="4" t="s">
        <v>49</v>
      </c>
      <c r="C2282" s="4" t="s">
        <v>12</v>
      </c>
      <c r="D2282" s="4">
        <v>26384400</v>
      </c>
      <c r="E2282" s="4">
        <v>6</v>
      </c>
      <c r="F2282" s="4" t="s">
        <v>1433</v>
      </c>
      <c r="G2282" s="4">
        <v>6</v>
      </c>
      <c r="H2282" s="4">
        <v>0</v>
      </c>
      <c r="I2282" s="4">
        <v>0</v>
      </c>
      <c r="J2282" s="4"/>
      <c r="K2282" s="4"/>
      <c r="L2282" s="4"/>
      <c r="M2282" s="4"/>
      <c r="N2282" s="4"/>
      <c r="O2282" s="4"/>
    </row>
    <row r="2283" spans="1:15" x14ac:dyDescent="0.3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</row>
    <row r="2284" spans="1:15" x14ac:dyDescent="0.3">
      <c r="A2284" s="4" t="s">
        <v>1186</v>
      </c>
      <c r="B2284" s="4" t="s">
        <v>49</v>
      </c>
      <c r="C2284" s="4" t="s">
        <v>12</v>
      </c>
      <c r="D2284" s="4">
        <v>26384412</v>
      </c>
      <c r="E2284" s="4">
        <v>59</v>
      </c>
      <c r="F2284" s="4" t="s">
        <v>1433</v>
      </c>
      <c r="G2284" s="4">
        <v>59</v>
      </c>
      <c r="H2284" s="4">
        <v>0</v>
      </c>
      <c r="I2284" s="4">
        <v>0</v>
      </c>
      <c r="J2284" s="4"/>
      <c r="K2284" s="4"/>
      <c r="L2284" s="4"/>
      <c r="M2284" s="4"/>
      <c r="N2284" s="4"/>
      <c r="O2284" s="4"/>
    </row>
    <row r="2285" spans="1:15" x14ac:dyDescent="0.3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</row>
    <row r="2286" spans="1:15" x14ac:dyDescent="0.3">
      <c r="A2286" s="4" t="s">
        <v>1187</v>
      </c>
      <c r="B2286" s="4" t="s">
        <v>49</v>
      </c>
      <c r="C2286" s="4" t="s">
        <v>12</v>
      </c>
      <c r="D2286" s="4">
        <v>26384880</v>
      </c>
      <c r="E2286" s="4">
        <v>59</v>
      </c>
      <c r="F2286" s="4" t="s">
        <v>1433</v>
      </c>
      <c r="G2286" s="4">
        <v>59</v>
      </c>
      <c r="H2286" s="4">
        <v>0</v>
      </c>
      <c r="I2286" s="4">
        <v>0</v>
      </c>
      <c r="J2286" s="4"/>
      <c r="K2286" s="4"/>
      <c r="L2286" s="4"/>
      <c r="M2286" s="4"/>
      <c r="N2286" s="4"/>
      <c r="O2286" s="4"/>
    </row>
    <row r="2287" spans="1:15" x14ac:dyDescent="0.3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</row>
    <row r="2288" spans="1:15" x14ac:dyDescent="0.3">
      <c r="A2288" s="4" t="s">
        <v>1188</v>
      </c>
      <c r="B2288" s="4" t="s">
        <v>49</v>
      </c>
      <c r="C2288" s="4" t="s">
        <v>12</v>
      </c>
      <c r="D2288" s="4">
        <v>26384886</v>
      </c>
      <c r="E2288" s="4">
        <v>16</v>
      </c>
      <c r="F2288" s="4" t="s">
        <v>1433</v>
      </c>
      <c r="G2288" s="4">
        <v>16</v>
      </c>
      <c r="H2288" s="4">
        <v>0</v>
      </c>
      <c r="I2288" s="4">
        <v>0</v>
      </c>
      <c r="J2288" s="4"/>
      <c r="K2288" s="4"/>
      <c r="L2288" s="4"/>
      <c r="M2288" s="4"/>
      <c r="N2288" s="4"/>
      <c r="O2288" s="4"/>
    </row>
    <row r="2289" spans="1:15" x14ac:dyDescent="0.3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</row>
    <row r="2290" spans="1:15" x14ac:dyDescent="0.3">
      <c r="A2290" s="4" t="s">
        <v>1189</v>
      </c>
      <c r="B2290" s="4" t="s">
        <v>49</v>
      </c>
      <c r="C2290" s="4" t="s">
        <v>12</v>
      </c>
      <c r="D2290" s="4">
        <v>26384946</v>
      </c>
      <c r="E2290" s="4">
        <v>21</v>
      </c>
      <c r="F2290" s="4" t="s">
        <v>1433</v>
      </c>
      <c r="G2290" s="4">
        <v>21</v>
      </c>
      <c r="H2290" s="4">
        <v>0</v>
      </c>
      <c r="I2290" s="4">
        <v>0</v>
      </c>
      <c r="J2290" s="4"/>
      <c r="K2290" s="4"/>
      <c r="L2290" s="4"/>
      <c r="M2290" s="4"/>
      <c r="N2290" s="4"/>
      <c r="O2290" s="4"/>
    </row>
    <row r="2291" spans="1:15" x14ac:dyDescent="0.3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</row>
    <row r="2292" spans="1:15" x14ac:dyDescent="0.3">
      <c r="A2292" s="4" t="s">
        <v>1190</v>
      </c>
      <c r="B2292" s="4" t="s">
        <v>49</v>
      </c>
      <c r="C2292" s="4" t="s">
        <v>12</v>
      </c>
      <c r="D2292" s="4">
        <v>26384994</v>
      </c>
      <c r="E2292" s="4">
        <v>39</v>
      </c>
      <c r="F2292" s="4" t="s">
        <v>1433</v>
      </c>
      <c r="G2292" s="4">
        <v>39</v>
      </c>
      <c r="H2292" s="4">
        <v>0</v>
      </c>
      <c r="I2292" s="4">
        <v>0</v>
      </c>
      <c r="J2292" s="4"/>
      <c r="K2292" s="4"/>
      <c r="L2292" s="4"/>
      <c r="M2292" s="4"/>
      <c r="N2292" s="4"/>
      <c r="O2292" s="4"/>
    </row>
    <row r="2293" spans="1:15" x14ac:dyDescent="0.3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</row>
    <row r="2294" spans="1:15" x14ac:dyDescent="0.3">
      <c r="A2294" s="4" t="s">
        <v>1191</v>
      </c>
      <c r="B2294" s="4" t="s">
        <v>49</v>
      </c>
      <c r="C2294" s="4" t="s">
        <v>12</v>
      </c>
      <c r="D2294" s="4">
        <v>26385234</v>
      </c>
      <c r="E2294" s="4">
        <v>6</v>
      </c>
      <c r="F2294" s="4" t="s">
        <v>1433</v>
      </c>
      <c r="G2294" s="4">
        <v>6</v>
      </c>
      <c r="H2294" s="4">
        <v>0</v>
      </c>
      <c r="I2294" s="4">
        <v>0</v>
      </c>
      <c r="J2294" s="4"/>
      <c r="K2294" s="4"/>
      <c r="L2294" s="4"/>
      <c r="M2294" s="4"/>
      <c r="N2294" s="4"/>
      <c r="O2294" s="4"/>
    </row>
    <row r="2295" spans="1:15" x14ac:dyDescent="0.3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</row>
    <row r="2296" spans="1:15" x14ac:dyDescent="0.3">
      <c r="A2296" s="4" t="s">
        <v>1192</v>
      </c>
      <c r="B2296" s="4" t="s">
        <v>49</v>
      </c>
      <c r="C2296" s="4" t="s">
        <v>12</v>
      </c>
      <c r="D2296" s="4">
        <v>26385354</v>
      </c>
      <c r="E2296" s="4">
        <v>57</v>
      </c>
      <c r="F2296" s="4" t="s">
        <v>1433</v>
      </c>
      <c r="G2296" s="4">
        <v>57</v>
      </c>
      <c r="H2296" s="4">
        <v>0</v>
      </c>
      <c r="I2296" s="4">
        <v>0</v>
      </c>
      <c r="J2296" s="4"/>
      <c r="K2296" s="4"/>
      <c r="L2296" s="4"/>
      <c r="M2296" s="4"/>
      <c r="N2296" s="4"/>
      <c r="O2296" s="4"/>
    </row>
    <row r="2297" spans="1:15" x14ac:dyDescent="0.3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</row>
    <row r="2298" spans="1:15" x14ac:dyDescent="0.3">
      <c r="A2298" s="4" t="s">
        <v>1193</v>
      </c>
      <c r="B2298" s="4" t="s">
        <v>49</v>
      </c>
      <c r="C2298" s="4" t="s">
        <v>12</v>
      </c>
      <c r="D2298" s="4">
        <v>26385372</v>
      </c>
      <c r="E2298" s="4">
        <v>38</v>
      </c>
      <c r="F2298" s="4" t="s">
        <v>1433</v>
      </c>
      <c r="G2298" s="4">
        <v>38</v>
      </c>
      <c r="H2298" s="4">
        <v>0</v>
      </c>
      <c r="I2298" s="4">
        <v>0</v>
      </c>
      <c r="J2298" s="4"/>
      <c r="K2298" s="4"/>
      <c r="L2298" s="4"/>
      <c r="M2298" s="4"/>
      <c r="N2298" s="4"/>
      <c r="O2298" s="4"/>
    </row>
    <row r="2299" spans="1:15" x14ac:dyDescent="0.3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</row>
    <row r="2300" spans="1:15" x14ac:dyDescent="0.3">
      <c r="A2300" s="4" t="s">
        <v>1194</v>
      </c>
      <c r="B2300" s="4" t="s">
        <v>49</v>
      </c>
      <c r="C2300" s="4" t="s">
        <v>12</v>
      </c>
      <c r="D2300" s="4">
        <v>26385402</v>
      </c>
      <c r="E2300" s="4">
        <v>55</v>
      </c>
      <c r="F2300" s="4" t="s">
        <v>1433</v>
      </c>
      <c r="G2300" s="4">
        <v>55</v>
      </c>
      <c r="H2300" s="4">
        <v>0</v>
      </c>
      <c r="I2300" s="4">
        <v>0</v>
      </c>
      <c r="J2300" s="4"/>
      <c r="K2300" s="4"/>
      <c r="L2300" s="4"/>
      <c r="M2300" s="4"/>
      <c r="N2300" s="4"/>
      <c r="O2300" s="4"/>
    </row>
    <row r="2301" spans="1:15" x14ac:dyDescent="0.3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</row>
    <row r="2302" spans="1:15" x14ac:dyDescent="0.3">
      <c r="A2302" s="4" t="s">
        <v>1195</v>
      </c>
      <c r="B2302" s="4" t="s">
        <v>49</v>
      </c>
      <c r="C2302" s="4" t="s">
        <v>12</v>
      </c>
      <c r="D2302" s="4">
        <v>26385432</v>
      </c>
      <c r="E2302" s="4">
        <v>28</v>
      </c>
      <c r="F2302" s="4" t="s">
        <v>1433</v>
      </c>
      <c r="G2302" s="4">
        <v>28</v>
      </c>
      <c r="H2302" s="4">
        <v>0</v>
      </c>
      <c r="I2302" s="4">
        <v>0</v>
      </c>
      <c r="J2302" s="4"/>
      <c r="K2302" s="4"/>
      <c r="L2302" s="4"/>
      <c r="M2302" s="4"/>
      <c r="N2302" s="4"/>
      <c r="O2302" s="4"/>
    </row>
    <row r="2303" spans="1:15" x14ac:dyDescent="0.3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</row>
    <row r="2304" spans="1:15" x14ac:dyDescent="0.3">
      <c r="A2304" s="4" t="s">
        <v>1196</v>
      </c>
      <c r="B2304" s="4" t="s">
        <v>49</v>
      </c>
      <c r="C2304" s="4" t="s">
        <v>12</v>
      </c>
      <c r="D2304" s="4">
        <v>26385636</v>
      </c>
      <c r="E2304" s="4">
        <v>21</v>
      </c>
      <c r="F2304" s="4" t="s">
        <v>1433</v>
      </c>
      <c r="G2304" s="4">
        <v>21</v>
      </c>
      <c r="H2304" s="4">
        <v>0</v>
      </c>
      <c r="I2304" s="4">
        <v>0</v>
      </c>
      <c r="J2304" s="4"/>
      <c r="K2304" s="4"/>
      <c r="L2304" s="4"/>
      <c r="M2304" s="4"/>
      <c r="N2304" s="4"/>
      <c r="O2304" s="4"/>
    </row>
    <row r="2305" spans="1:15" x14ac:dyDescent="0.3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</row>
    <row r="2306" spans="1:15" x14ac:dyDescent="0.3">
      <c r="A2306" s="4" t="s">
        <v>1197</v>
      </c>
      <c r="B2306" s="4" t="s">
        <v>49</v>
      </c>
      <c r="C2306" s="4" t="s">
        <v>12</v>
      </c>
      <c r="D2306" s="4">
        <v>26385666</v>
      </c>
      <c r="E2306" s="4">
        <v>49</v>
      </c>
      <c r="F2306" s="4" t="s">
        <v>1433</v>
      </c>
      <c r="G2306" s="4">
        <v>49</v>
      </c>
      <c r="H2306" s="4">
        <v>0</v>
      </c>
      <c r="I2306" s="4">
        <v>0</v>
      </c>
      <c r="J2306" s="4"/>
      <c r="K2306" s="4"/>
      <c r="L2306" s="4"/>
      <c r="M2306" s="4"/>
      <c r="N2306" s="4"/>
      <c r="O2306" s="4"/>
    </row>
    <row r="2307" spans="1:15" x14ac:dyDescent="0.3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</row>
    <row r="2308" spans="1:15" x14ac:dyDescent="0.3">
      <c r="A2308" s="4" t="s">
        <v>1198</v>
      </c>
      <c r="B2308" s="4" t="s">
        <v>49</v>
      </c>
      <c r="C2308" s="4" t="s">
        <v>12</v>
      </c>
      <c r="D2308" s="4">
        <v>26386020</v>
      </c>
      <c r="E2308" s="4">
        <v>19</v>
      </c>
      <c r="F2308" s="4" t="s">
        <v>1433</v>
      </c>
      <c r="G2308" s="4">
        <v>19</v>
      </c>
      <c r="H2308" s="4">
        <v>0</v>
      </c>
      <c r="I2308" s="4">
        <v>0</v>
      </c>
      <c r="J2308" s="4"/>
      <c r="K2308" s="4"/>
      <c r="L2308" s="4"/>
      <c r="M2308" s="4"/>
      <c r="N2308" s="4"/>
      <c r="O2308" s="4"/>
    </row>
    <row r="2309" spans="1:15" x14ac:dyDescent="0.3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</row>
    <row r="2310" spans="1:15" x14ac:dyDescent="0.3">
      <c r="A2310" s="4" t="s">
        <v>1199</v>
      </c>
      <c r="B2310" s="4" t="s">
        <v>49</v>
      </c>
      <c r="C2310" s="4" t="s">
        <v>12</v>
      </c>
      <c r="D2310" s="4">
        <v>26386278</v>
      </c>
      <c r="E2310" s="4">
        <v>33</v>
      </c>
      <c r="F2310" s="4" t="s">
        <v>1433</v>
      </c>
      <c r="G2310" s="4">
        <v>33</v>
      </c>
      <c r="H2310" s="4">
        <v>0</v>
      </c>
      <c r="I2310" s="4">
        <v>0</v>
      </c>
      <c r="J2310" s="4"/>
      <c r="K2310" s="4"/>
      <c r="L2310" s="4"/>
      <c r="M2310" s="4"/>
      <c r="N2310" s="4"/>
      <c r="O2310" s="4"/>
    </row>
    <row r="2311" spans="1:15" x14ac:dyDescent="0.3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</row>
    <row r="2312" spans="1:15" x14ac:dyDescent="0.3">
      <c r="A2312" s="4" t="s">
        <v>1200</v>
      </c>
      <c r="B2312" s="4" t="s">
        <v>49</v>
      </c>
      <c r="C2312" s="4" t="s">
        <v>12</v>
      </c>
      <c r="D2312" s="4">
        <v>26386290</v>
      </c>
      <c r="E2312" s="4">
        <v>28</v>
      </c>
      <c r="F2312" s="4" t="s">
        <v>1433</v>
      </c>
      <c r="G2312" s="4">
        <v>28</v>
      </c>
      <c r="H2312" s="4">
        <v>0</v>
      </c>
      <c r="I2312" s="4">
        <v>0</v>
      </c>
      <c r="J2312" s="4"/>
      <c r="K2312" s="4"/>
      <c r="L2312" s="4"/>
      <c r="M2312" s="4"/>
      <c r="N2312" s="4"/>
      <c r="O2312" s="4"/>
    </row>
    <row r="2313" spans="1:15" x14ac:dyDescent="0.3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</row>
    <row r="2314" spans="1:15" x14ac:dyDescent="0.3">
      <c r="A2314" s="4" t="s">
        <v>1201</v>
      </c>
      <c r="B2314" s="4" t="s">
        <v>49</v>
      </c>
      <c r="C2314" s="4" t="s">
        <v>12</v>
      </c>
      <c r="D2314" s="4">
        <v>26386506</v>
      </c>
      <c r="E2314" s="4">
        <v>31</v>
      </c>
      <c r="F2314" s="4" t="s">
        <v>1433</v>
      </c>
      <c r="G2314" s="4">
        <v>31</v>
      </c>
      <c r="H2314" s="4">
        <v>0</v>
      </c>
      <c r="I2314" s="4">
        <v>0</v>
      </c>
      <c r="J2314" s="4"/>
      <c r="K2314" s="4"/>
      <c r="L2314" s="4"/>
      <c r="M2314" s="4"/>
      <c r="N2314" s="4"/>
      <c r="O2314" s="4"/>
    </row>
    <row r="2315" spans="1:15" x14ac:dyDescent="0.3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</row>
    <row r="2316" spans="1:15" x14ac:dyDescent="0.3">
      <c r="A2316" s="4" t="s">
        <v>1202</v>
      </c>
      <c r="B2316" s="4" t="s">
        <v>49</v>
      </c>
      <c r="C2316" s="4" t="s">
        <v>12</v>
      </c>
      <c r="D2316" s="4">
        <v>26386848</v>
      </c>
      <c r="E2316" s="4">
        <v>20</v>
      </c>
      <c r="F2316" s="4" t="s">
        <v>1433</v>
      </c>
      <c r="G2316" s="4">
        <v>20</v>
      </c>
      <c r="H2316" s="4">
        <v>0</v>
      </c>
      <c r="I2316" s="4">
        <v>0</v>
      </c>
      <c r="J2316" s="4"/>
      <c r="K2316" s="4"/>
      <c r="L2316" s="4"/>
      <c r="M2316" s="4"/>
      <c r="N2316" s="4"/>
      <c r="O2316" s="4"/>
    </row>
    <row r="2317" spans="1:15" x14ac:dyDescent="0.3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</row>
    <row r="2318" spans="1:15" x14ac:dyDescent="0.3">
      <c r="A2318" s="4" t="s">
        <v>1203</v>
      </c>
      <c r="B2318" s="4" t="s">
        <v>49</v>
      </c>
      <c r="C2318" s="4" t="s">
        <v>12</v>
      </c>
      <c r="D2318" s="4">
        <v>26386890</v>
      </c>
      <c r="E2318" s="4">
        <v>27</v>
      </c>
      <c r="F2318" s="4" t="s">
        <v>1433</v>
      </c>
      <c r="G2318" s="4">
        <v>27</v>
      </c>
      <c r="H2318" s="4">
        <v>0</v>
      </c>
      <c r="I2318" s="4">
        <v>0</v>
      </c>
      <c r="J2318" s="4"/>
      <c r="K2318" s="4"/>
      <c r="L2318" s="4"/>
      <c r="M2318" s="4"/>
      <c r="N2318" s="4"/>
      <c r="O2318" s="4"/>
    </row>
    <row r="2319" spans="1:15" x14ac:dyDescent="0.3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</row>
    <row r="2320" spans="1:15" x14ac:dyDescent="0.3">
      <c r="A2320" s="4" t="s">
        <v>1204</v>
      </c>
      <c r="B2320" s="4" t="s">
        <v>49</v>
      </c>
      <c r="C2320" s="4" t="s">
        <v>12</v>
      </c>
      <c r="D2320" s="4">
        <v>26387190</v>
      </c>
      <c r="E2320" s="4">
        <v>15</v>
      </c>
      <c r="F2320" s="4" t="s">
        <v>1433</v>
      </c>
      <c r="G2320" s="4">
        <v>15</v>
      </c>
      <c r="H2320" s="4">
        <v>0</v>
      </c>
      <c r="I2320" s="4">
        <v>0</v>
      </c>
      <c r="J2320" s="4"/>
      <c r="K2320" s="4"/>
      <c r="L2320" s="4"/>
      <c r="M2320" s="4"/>
      <c r="N2320" s="4"/>
      <c r="O2320" s="4"/>
    </row>
    <row r="2321" spans="1:15" x14ac:dyDescent="0.3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</row>
    <row r="2322" spans="1:15" x14ac:dyDescent="0.3">
      <c r="A2322" s="4" t="s">
        <v>1205</v>
      </c>
      <c r="B2322" s="4" t="s">
        <v>49</v>
      </c>
      <c r="C2322" s="4" t="s">
        <v>12</v>
      </c>
      <c r="D2322" s="4">
        <v>26387400</v>
      </c>
      <c r="E2322" s="4">
        <v>4</v>
      </c>
      <c r="F2322" s="4" t="s">
        <v>1433</v>
      </c>
      <c r="G2322" s="4">
        <v>4</v>
      </c>
      <c r="H2322" s="4">
        <v>0</v>
      </c>
      <c r="I2322" s="4">
        <v>0</v>
      </c>
      <c r="J2322" s="4"/>
      <c r="K2322" s="4"/>
      <c r="L2322" s="4"/>
      <c r="M2322" s="4"/>
      <c r="N2322" s="4"/>
      <c r="O2322" s="4"/>
    </row>
    <row r="2323" spans="1:15" x14ac:dyDescent="0.3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</row>
    <row r="2324" spans="1:15" x14ac:dyDescent="0.3">
      <c r="A2324" s="4" t="s">
        <v>1206</v>
      </c>
      <c r="B2324" s="4" t="s">
        <v>49</v>
      </c>
      <c r="C2324" s="4" t="s">
        <v>12</v>
      </c>
      <c r="D2324" s="4">
        <v>26387418</v>
      </c>
      <c r="E2324" s="4">
        <v>14</v>
      </c>
      <c r="F2324" s="4" t="s">
        <v>1433</v>
      </c>
      <c r="G2324" s="4">
        <v>14</v>
      </c>
      <c r="H2324" s="4">
        <v>0</v>
      </c>
      <c r="I2324" s="4">
        <v>0</v>
      </c>
      <c r="J2324" s="4"/>
      <c r="K2324" s="4"/>
      <c r="L2324" s="4"/>
      <c r="M2324" s="4"/>
      <c r="N2324" s="4"/>
      <c r="O2324" s="4"/>
    </row>
    <row r="2325" spans="1:15" x14ac:dyDescent="0.3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</row>
    <row r="2326" spans="1:15" x14ac:dyDescent="0.3">
      <c r="A2326" s="4" t="s">
        <v>1207</v>
      </c>
      <c r="B2326" s="4" t="s">
        <v>49</v>
      </c>
      <c r="C2326" s="4" t="s">
        <v>12</v>
      </c>
      <c r="D2326" s="4">
        <v>26387946</v>
      </c>
      <c r="E2326" s="4">
        <v>56</v>
      </c>
      <c r="F2326" s="4" t="s">
        <v>1433</v>
      </c>
      <c r="G2326" s="4">
        <v>56</v>
      </c>
      <c r="H2326" s="4">
        <v>0</v>
      </c>
      <c r="I2326" s="4">
        <v>0</v>
      </c>
      <c r="J2326" s="4"/>
      <c r="K2326" s="4"/>
      <c r="L2326" s="4"/>
      <c r="M2326" s="4"/>
      <c r="N2326" s="4"/>
      <c r="O2326" s="4"/>
    </row>
    <row r="2327" spans="1:15" x14ac:dyDescent="0.3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</row>
    <row r="2328" spans="1:15" x14ac:dyDescent="0.3">
      <c r="A2328" s="4" t="s">
        <v>1208</v>
      </c>
      <c r="B2328" s="4" t="s">
        <v>49</v>
      </c>
      <c r="C2328" s="4" t="s">
        <v>12</v>
      </c>
      <c r="D2328" s="4">
        <v>26388024</v>
      </c>
      <c r="E2328" s="4">
        <v>47</v>
      </c>
      <c r="F2328" s="4" t="s">
        <v>1433</v>
      </c>
      <c r="G2328" s="4">
        <v>47</v>
      </c>
      <c r="H2328" s="4">
        <v>0</v>
      </c>
      <c r="I2328" s="4">
        <v>0</v>
      </c>
      <c r="J2328" s="4"/>
      <c r="K2328" s="4"/>
      <c r="L2328" s="4"/>
      <c r="M2328" s="4"/>
      <c r="N2328" s="4"/>
      <c r="O2328" s="4"/>
    </row>
    <row r="2329" spans="1:15" x14ac:dyDescent="0.3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</row>
    <row r="2330" spans="1:15" x14ac:dyDescent="0.3">
      <c r="A2330" s="4" t="s">
        <v>1209</v>
      </c>
      <c r="B2330" s="4" t="s">
        <v>49</v>
      </c>
      <c r="C2330" s="4" t="s">
        <v>12</v>
      </c>
      <c r="D2330" s="4">
        <v>26388078</v>
      </c>
      <c r="E2330" s="4">
        <v>40</v>
      </c>
      <c r="F2330" s="4" t="s">
        <v>1433</v>
      </c>
      <c r="G2330" s="4">
        <v>40</v>
      </c>
      <c r="H2330" s="4">
        <v>0</v>
      </c>
      <c r="I2330" s="4">
        <v>0</v>
      </c>
      <c r="J2330" s="4"/>
      <c r="K2330" s="4"/>
      <c r="L2330" s="4"/>
      <c r="M2330" s="4"/>
      <c r="N2330" s="4"/>
      <c r="O2330" s="4"/>
    </row>
    <row r="2331" spans="1:15" x14ac:dyDescent="0.3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</row>
    <row r="2332" spans="1:15" x14ac:dyDescent="0.3">
      <c r="A2332" s="4" t="s">
        <v>1210</v>
      </c>
      <c r="B2332" s="4" t="s">
        <v>49</v>
      </c>
      <c r="C2332" s="4" t="s">
        <v>12</v>
      </c>
      <c r="D2332" s="4">
        <v>26388222</v>
      </c>
      <c r="E2332" s="4">
        <v>54</v>
      </c>
      <c r="F2332" s="4" t="s">
        <v>1433</v>
      </c>
      <c r="G2332" s="4">
        <v>54</v>
      </c>
      <c r="H2332" s="4">
        <v>0</v>
      </c>
      <c r="I2332" s="4">
        <v>0</v>
      </c>
      <c r="J2332" s="4"/>
      <c r="K2332" s="4"/>
      <c r="L2332" s="4"/>
      <c r="M2332" s="4"/>
      <c r="N2332" s="4"/>
      <c r="O2332" s="4"/>
    </row>
    <row r="2333" spans="1:15" x14ac:dyDescent="0.3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</row>
    <row r="2334" spans="1:15" x14ac:dyDescent="0.3">
      <c r="A2334" s="4" t="s">
        <v>1211</v>
      </c>
      <c r="B2334" s="4" t="s">
        <v>49</v>
      </c>
      <c r="C2334" s="4" t="s">
        <v>12</v>
      </c>
      <c r="D2334" s="4">
        <v>26388414</v>
      </c>
      <c r="E2334" s="4">
        <v>10</v>
      </c>
      <c r="F2334" s="4" t="s">
        <v>1433</v>
      </c>
      <c r="G2334" s="4">
        <v>10</v>
      </c>
      <c r="H2334" s="4">
        <v>0</v>
      </c>
      <c r="I2334" s="4">
        <v>0</v>
      </c>
      <c r="J2334" s="4"/>
      <c r="K2334" s="4"/>
      <c r="L2334" s="4"/>
      <c r="M2334" s="4"/>
      <c r="N2334" s="4"/>
      <c r="O2334" s="4"/>
    </row>
    <row r="2335" spans="1:15" x14ac:dyDescent="0.3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</row>
    <row r="2336" spans="1:15" x14ac:dyDescent="0.3">
      <c r="A2336" s="4" t="s">
        <v>1212</v>
      </c>
      <c r="B2336" s="4" t="s">
        <v>49</v>
      </c>
      <c r="C2336" s="4" t="s">
        <v>12</v>
      </c>
      <c r="D2336" s="4">
        <v>26388798</v>
      </c>
      <c r="E2336" s="4">
        <v>46</v>
      </c>
      <c r="F2336" s="4" t="s">
        <v>1433</v>
      </c>
      <c r="G2336" s="4">
        <v>46</v>
      </c>
      <c r="H2336" s="4">
        <v>0</v>
      </c>
      <c r="I2336" s="4">
        <v>0</v>
      </c>
      <c r="J2336" s="4"/>
      <c r="K2336" s="4"/>
      <c r="L2336" s="4"/>
      <c r="M2336" s="4"/>
      <c r="N2336" s="4"/>
      <c r="O2336" s="4"/>
    </row>
    <row r="2337" spans="1:15" x14ac:dyDescent="0.3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</row>
    <row r="2338" spans="1:15" x14ac:dyDescent="0.3">
      <c r="A2338" s="4" t="s">
        <v>1213</v>
      </c>
      <c r="B2338" s="4" t="s">
        <v>49</v>
      </c>
      <c r="C2338" s="4" t="s">
        <v>12</v>
      </c>
      <c r="D2338" s="4">
        <v>26388948</v>
      </c>
      <c r="E2338" s="4">
        <v>14</v>
      </c>
      <c r="F2338" s="4" t="s">
        <v>1433</v>
      </c>
      <c r="G2338" s="4">
        <v>14</v>
      </c>
      <c r="H2338" s="4">
        <v>0</v>
      </c>
      <c r="I2338" s="4">
        <v>0</v>
      </c>
      <c r="J2338" s="4"/>
      <c r="K2338" s="4"/>
      <c r="L2338" s="4"/>
      <c r="M2338" s="4"/>
      <c r="N2338" s="4"/>
      <c r="O2338" s="4"/>
    </row>
    <row r="2339" spans="1:15" x14ac:dyDescent="0.3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</row>
    <row r="2340" spans="1:15" x14ac:dyDescent="0.3">
      <c r="A2340" s="4" t="s">
        <v>1214</v>
      </c>
      <c r="B2340" s="4" t="s">
        <v>49</v>
      </c>
      <c r="C2340" s="4" t="s">
        <v>12</v>
      </c>
      <c r="D2340" s="4">
        <v>26388954</v>
      </c>
      <c r="E2340" s="4">
        <v>13</v>
      </c>
      <c r="F2340" s="4" t="s">
        <v>1433</v>
      </c>
      <c r="G2340" s="4">
        <v>13</v>
      </c>
      <c r="H2340" s="4">
        <v>0</v>
      </c>
      <c r="I2340" s="4">
        <v>0</v>
      </c>
      <c r="J2340" s="4"/>
      <c r="K2340" s="4"/>
      <c r="L2340" s="4"/>
      <c r="M2340" s="4"/>
      <c r="N2340" s="4"/>
      <c r="O2340" s="4"/>
    </row>
    <row r="2341" spans="1:15" x14ac:dyDescent="0.3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</row>
    <row r="2342" spans="1:15" x14ac:dyDescent="0.3">
      <c r="A2342" s="4" t="s">
        <v>1215</v>
      </c>
      <c r="B2342" s="4" t="s">
        <v>49</v>
      </c>
      <c r="C2342" s="4" t="s">
        <v>12</v>
      </c>
      <c r="D2342" s="4">
        <v>26389008</v>
      </c>
      <c r="E2342" s="4">
        <v>64</v>
      </c>
      <c r="F2342" s="4" t="s">
        <v>1433</v>
      </c>
      <c r="G2342" s="4">
        <v>64</v>
      </c>
      <c r="H2342" s="4">
        <v>0</v>
      </c>
      <c r="I2342" s="4">
        <v>0</v>
      </c>
      <c r="J2342" s="4"/>
      <c r="K2342" s="4"/>
      <c r="L2342" s="4"/>
      <c r="M2342" s="4"/>
      <c r="N2342" s="4"/>
      <c r="O2342" s="4"/>
    </row>
    <row r="2343" spans="1:15" x14ac:dyDescent="0.3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</row>
    <row r="2344" spans="1:15" x14ac:dyDescent="0.3">
      <c r="A2344" s="4" t="s">
        <v>1216</v>
      </c>
      <c r="B2344" s="4" t="s">
        <v>49</v>
      </c>
      <c r="C2344" s="4" t="s">
        <v>12</v>
      </c>
      <c r="D2344" s="4">
        <v>26389014</v>
      </c>
      <c r="E2344" s="4">
        <v>62</v>
      </c>
      <c r="F2344" s="4" t="s">
        <v>1433</v>
      </c>
      <c r="G2344" s="4">
        <v>62</v>
      </c>
      <c r="H2344" s="4">
        <v>0</v>
      </c>
      <c r="I2344" s="4">
        <v>0</v>
      </c>
      <c r="J2344" s="4"/>
      <c r="K2344" s="4"/>
      <c r="L2344" s="4"/>
      <c r="M2344" s="4"/>
      <c r="N2344" s="4"/>
      <c r="O2344" s="4"/>
    </row>
    <row r="2345" spans="1:15" x14ac:dyDescent="0.3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</row>
    <row r="2346" spans="1:15" x14ac:dyDescent="0.3">
      <c r="A2346" s="4" t="s">
        <v>1217</v>
      </c>
      <c r="B2346" s="4" t="s">
        <v>49</v>
      </c>
      <c r="C2346" s="4" t="s">
        <v>12</v>
      </c>
      <c r="D2346" s="4">
        <v>26389020</v>
      </c>
      <c r="E2346" s="4">
        <v>91</v>
      </c>
      <c r="F2346" s="4" t="s">
        <v>1433</v>
      </c>
      <c r="G2346" s="4">
        <v>91</v>
      </c>
      <c r="H2346" s="4">
        <v>0</v>
      </c>
      <c r="I2346" s="4">
        <v>0</v>
      </c>
      <c r="J2346" s="4"/>
      <c r="K2346" s="4"/>
      <c r="L2346" s="4"/>
      <c r="M2346" s="4"/>
      <c r="N2346" s="4"/>
      <c r="O2346" s="4"/>
    </row>
    <row r="2347" spans="1:15" x14ac:dyDescent="0.3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</row>
    <row r="2348" spans="1:15" x14ac:dyDescent="0.3">
      <c r="A2348" s="4" t="s">
        <v>1218</v>
      </c>
      <c r="B2348" s="4" t="s">
        <v>49</v>
      </c>
      <c r="C2348" s="4" t="s">
        <v>12</v>
      </c>
      <c r="D2348" s="4">
        <v>26389044</v>
      </c>
      <c r="E2348" s="4">
        <v>32</v>
      </c>
      <c r="F2348" s="4" t="s">
        <v>1433</v>
      </c>
      <c r="G2348" s="4">
        <v>32</v>
      </c>
      <c r="H2348" s="4">
        <v>0</v>
      </c>
      <c r="I2348" s="4">
        <v>0</v>
      </c>
      <c r="J2348" s="4"/>
      <c r="K2348" s="4"/>
      <c r="L2348" s="4"/>
      <c r="M2348" s="4"/>
      <c r="N2348" s="4"/>
      <c r="O2348" s="4"/>
    </row>
    <row r="2349" spans="1:15" x14ac:dyDescent="0.3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</row>
    <row r="2350" spans="1:15" x14ac:dyDescent="0.3">
      <c r="A2350" s="4" t="s">
        <v>1219</v>
      </c>
      <c r="B2350" s="4" t="s">
        <v>49</v>
      </c>
      <c r="C2350" s="4" t="s">
        <v>12</v>
      </c>
      <c r="D2350" s="4">
        <v>26389434</v>
      </c>
      <c r="E2350" s="4">
        <v>35</v>
      </c>
      <c r="F2350" s="4" t="s">
        <v>1433</v>
      </c>
      <c r="G2350" s="4">
        <v>35</v>
      </c>
      <c r="H2350" s="4">
        <v>0</v>
      </c>
      <c r="I2350" s="4">
        <v>0</v>
      </c>
      <c r="J2350" s="4"/>
      <c r="K2350" s="4"/>
      <c r="L2350" s="4"/>
      <c r="M2350" s="4"/>
      <c r="N2350" s="4"/>
      <c r="O2350" s="4"/>
    </row>
    <row r="2351" spans="1:15" x14ac:dyDescent="0.3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</row>
    <row r="2352" spans="1:15" x14ac:dyDescent="0.3">
      <c r="A2352" s="4" t="s">
        <v>1220</v>
      </c>
      <c r="B2352" s="4" t="s">
        <v>49</v>
      </c>
      <c r="C2352" s="4" t="s">
        <v>12</v>
      </c>
      <c r="D2352" s="4">
        <v>26389554</v>
      </c>
      <c r="E2352" s="4">
        <v>18</v>
      </c>
      <c r="F2352" s="4" t="s">
        <v>1433</v>
      </c>
      <c r="G2352" s="4">
        <v>18</v>
      </c>
      <c r="H2352" s="4">
        <v>0</v>
      </c>
      <c r="I2352" s="4">
        <v>0</v>
      </c>
      <c r="J2352" s="4"/>
      <c r="K2352" s="4"/>
      <c r="L2352" s="4"/>
      <c r="M2352" s="4"/>
      <c r="N2352" s="4"/>
      <c r="O2352" s="4"/>
    </row>
    <row r="2353" spans="1:15" x14ac:dyDescent="0.3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</row>
    <row r="2354" spans="1:15" x14ac:dyDescent="0.3">
      <c r="A2354" s="4" t="s">
        <v>1221</v>
      </c>
      <c r="B2354" s="4" t="s">
        <v>49</v>
      </c>
      <c r="C2354" s="4" t="s">
        <v>12</v>
      </c>
      <c r="D2354" s="4">
        <v>26389752</v>
      </c>
      <c r="E2354" s="4">
        <v>40</v>
      </c>
      <c r="F2354" s="4" t="s">
        <v>1433</v>
      </c>
      <c r="G2354" s="4">
        <v>40</v>
      </c>
      <c r="H2354" s="4">
        <v>0</v>
      </c>
      <c r="I2354" s="4">
        <v>0</v>
      </c>
      <c r="J2354" s="4"/>
      <c r="K2354" s="4"/>
      <c r="L2354" s="4"/>
      <c r="M2354" s="4"/>
      <c r="N2354" s="4"/>
      <c r="O2354" s="4"/>
    </row>
    <row r="2355" spans="1:15" x14ac:dyDescent="0.3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</row>
    <row r="2356" spans="1:15" x14ac:dyDescent="0.3">
      <c r="A2356" s="4" t="s">
        <v>1222</v>
      </c>
      <c r="B2356" s="4" t="s">
        <v>49</v>
      </c>
      <c r="C2356" s="4" t="s">
        <v>12</v>
      </c>
      <c r="D2356" s="4">
        <v>26389764</v>
      </c>
      <c r="E2356" s="4">
        <v>10</v>
      </c>
      <c r="F2356" s="4" t="s">
        <v>1433</v>
      </c>
      <c r="G2356" s="4">
        <v>10</v>
      </c>
      <c r="H2356" s="4">
        <v>0</v>
      </c>
      <c r="I2356" s="4">
        <v>0</v>
      </c>
      <c r="J2356" s="4"/>
      <c r="K2356" s="4"/>
      <c r="L2356" s="4"/>
      <c r="M2356" s="4"/>
      <c r="N2356" s="4"/>
      <c r="O2356" s="4"/>
    </row>
    <row r="2357" spans="1:15" x14ac:dyDescent="0.3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</row>
    <row r="2358" spans="1:15" x14ac:dyDescent="0.3">
      <c r="A2358" s="4" t="s">
        <v>1223</v>
      </c>
      <c r="B2358" s="4" t="s">
        <v>49</v>
      </c>
      <c r="C2358" s="4" t="s">
        <v>12</v>
      </c>
      <c r="D2358" s="4">
        <v>26389782</v>
      </c>
      <c r="E2358" s="4">
        <v>24</v>
      </c>
      <c r="F2358" s="4" t="s">
        <v>1433</v>
      </c>
      <c r="G2358" s="4">
        <v>24</v>
      </c>
      <c r="H2358" s="4">
        <v>0</v>
      </c>
      <c r="I2358" s="4">
        <v>0</v>
      </c>
      <c r="J2358" s="4"/>
      <c r="K2358" s="4"/>
      <c r="L2358" s="4"/>
      <c r="M2358" s="4"/>
      <c r="N2358" s="4"/>
      <c r="O2358" s="4"/>
    </row>
    <row r="2359" spans="1:15" x14ac:dyDescent="0.3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</row>
    <row r="2360" spans="1:15" x14ac:dyDescent="0.3">
      <c r="A2360" s="4" t="s">
        <v>1224</v>
      </c>
      <c r="B2360" s="4" t="s">
        <v>49</v>
      </c>
      <c r="C2360" s="4" t="s">
        <v>12</v>
      </c>
      <c r="D2360" s="4">
        <v>26389788</v>
      </c>
      <c r="E2360" s="4">
        <v>10</v>
      </c>
      <c r="F2360" s="4" t="s">
        <v>1433</v>
      </c>
      <c r="G2360" s="4">
        <v>10</v>
      </c>
      <c r="H2360" s="4">
        <v>0</v>
      </c>
      <c r="I2360" s="4">
        <v>0</v>
      </c>
      <c r="J2360" s="4"/>
      <c r="K2360" s="4"/>
      <c r="L2360" s="4"/>
      <c r="M2360" s="4"/>
      <c r="N2360" s="4"/>
      <c r="O2360" s="4"/>
    </row>
    <row r="2361" spans="1:15" x14ac:dyDescent="0.3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</row>
    <row r="2362" spans="1:15" x14ac:dyDescent="0.3">
      <c r="A2362" s="4" t="s">
        <v>1225</v>
      </c>
      <c r="B2362" s="4" t="s">
        <v>49</v>
      </c>
      <c r="C2362" s="4" t="s">
        <v>12</v>
      </c>
      <c r="D2362" s="4">
        <v>26389818</v>
      </c>
      <c r="E2362" s="4">
        <v>185</v>
      </c>
      <c r="F2362" s="4" t="s">
        <v>1433</v>
      </c>
      <c r="G2362" s="4">
        <v>185</v>
      </c>
      <c r="H2362" s="4">
        <v>0</v>
      </c>
      <c r="I2362" s="4">
        <v>0</v>
      </c>
      <c r="J2362" s="4"/>
      <c r="K2362" s="4"/>
      <c r="L2362" s="4"/>
      <c r="M2362" s="4"/>
      <c r="N2362" s="4"/>
      <c r="O2362" s="4"/>
    </row>
    <row r="2363" spans="1:15" x14ac:dyDescent="0.3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</row>
    <row r="2364" spans="1:15" x14ac:dyDescent="0.3">
      <c r="A2364" s="4" t="s">
        <v>1226</v>
      </c>
      <c r="B2364" s="4" t="s">
        <v>49</v>
      </c>
      <c r="C2364" s="4" t="s">
        <v>12</v>
      </c>
      <c r="D2364" s="4">
        <v>26389950</v>
      </c>
      <c r="E2364" s="4">
        <v>74</v>
      </c>
      <c r="F2364" s="4" t="s">
        <v>1433</v>
      </c>
      <c r="G2364" s="4">
        <v>74</v>
      </c>
      <c r="H2364" s="4">
        <v>0</v>
      </c>
      <c r="I2364" s="4">
        <v>0</v>
      </c>
      <c r="J2364" s="4"/>
      <c r="K2364" s="4"/>
      <c r="L2364" s="4"/>
      <c r="M2364" s="4"/>
      <c r="N2364" s="4"/>
      <c r="O2364" s="4"/>
    </row>
    <row r="2365" spans="1:15" x14ac:dyDescent="0.3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</row>
    <row r="2366" spans="1:15" x14ac:dyDescent="0.3">
      <c r="A2366" s="4" t="s">
        <v>1227</v>
      </c>
      <c r="B2366" s="4" t="s">
        <v>49</v>
      </c>
      <c r="C2366" s="4" t="s">
        <v>12</v>
      </c>
      <c r="D2366" s="4">
        <v>26389998</v>
      </c>
      <c r="E2366" s="4">
        <v>18</v>
      </c>
      <c r="F2366" s="4" t="s">
        <v>1433</v>
      </c>
      <c r="G2366" s="4">
        <v>18</v>
      </c>
      <c r="H2366" s="4">
        <v>0</v>
      </c>
      <c r="I2366" s="4">
        <v>0</v>
      </c>
      <c r="J2366" s="4"/>
      <c r="K2366" s="4"/>
      <c r="L2366" s="4"/>
      <c r="M2366" s="4"/>
      <c r="N2366" s="4"/>
      <c r="O2366" s="4"/>
    </row>
    <row r="2367" spans="1:15" x14ac:dyDescent="0.3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</row>
    <row r="2368" spans="1:15" x14ac:dyDescent="0.3">
      <c r="A2368" s="4" t="s">
        <v>1228</v>
      </c>
      <c r="B2368" s="4" t="s">
        <v>49</v>
      </c>
      <c r="C2368" s="4" t="s">
        <v>12</v>
      </c>
      <c r="D2368" s="4">
        <v>26390502</v>
      </c>
      <c r="E2368" s="4">
        <v>14</v>
      </c>
      <c r="F2368" s="4" t="s">
        <v>1433</v>
      </c>
      <c r="G2368" s="4">
        <v>14</v>
      </c>
      <c r="H2368" s="4">
        <v>0</v>
      </c>
      <c r="I2368" s="4">
        <v>0</v>
      </c>
      <c r="J2368" s="4"/>
      <c r="K2368" s="4"/>
      <c r="L2368" s="4"/>
      <c r="M2368" s="4"/>
      <c r="N2368" s="4"/>
      <c r="O2368" s="4"/>
    </row>
    <row r="2369" spans="1:15" x14ac:dyDescent="0.3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</row>
    <row r="2370" spans="1:15" x14ac:dyDescent="0.3">
      <c r="A2370" s="4" t="s">
        <v>1229</v>
      </c>
      <c r="B2370" s="4" t="s">
        <v>49</v>
      </c>
      <c r="C2370" s="4" t="s">
        <v>12</v>
      </c>
      <c r="D2370" s="4">
        <v>26390646</v>
      </c>
      <c r="E2370" s="4">
        <v>16</v>
      </c>
      <c r="F2370" s="4" t="s">
        <v>1433</v>
      </c>
      <c r="G2370" s="4">
        <v>16</v>
      </c>
      <c r="H2370" s="4">
        <v>0</v>
      </c>
      <c r="I2370" s="4">
        <v>0</v>
      </c>
      <c r="J2370" s="4"/>
      <c r="K2370" s="4"/>
      <c r="L2370" s="4"/>
      <c r="M2370" s="4"/>
      <c r="N2370" s="4"/>
      <c r="O2370" s="4"/>
    </row>
    <row r="2371" spans="1:15" x14ac:dyDescent="0.3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</row>
    <row r="2372" spans="1:15" x14ac:dyDescent="0.3">
      <c r="A2372" s="4" t="s">
        <v>1230</v>
      </c>
      <c r="B2372" s="4" t="s">
        <v>49</v>
      </c>
      <c r="C2372" s="4" t="s">
        <v>12</v>
      </c>
      <c r="D2372" s="4">
        <v>26390784</v>
      </c>
      <c r="E2372" s="4">
        <v>5</v>
      </c>
      <c r="F2372" s="4" t="s">
        <v>1433</v>
      </c>
      <c r="G2372" s="4">
        <v>5</v>
      </c>
      <c r="H2372" s="4">
        <v>0</v>
      </c>
      <c r="I2372" s="4">
        <v>0</v>
      </c>
      <c r="J2372" s="4"/>
      <c r="K2372" s="4"/>
      <c r="L2372" s="4"/>
      <c r="M2372" s="4"/>
      <c r="N2372" s="4"/>
      <c r="O2372" s="4"/>
    </row>
    <row r="2373" spans="1:15" x14ac:dyDescent="0.3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</row>
    <row r="2374" spans="1:15" x14ac:dyDescent="0.3">
      <c r="A2374" s="4" t="s">
        <v>1231</v>
      </c>
      <c r="B2374" s="4" t="s">
        <v>49</v>
      </c>
      <c r="C2374" s="4" t="s">
        <v>12</v>
      </c>
      <c r="D2374" s="4">
        <v>26390790</v>
      </c>
      <c r="E2374" s="4">
        <v>15</v>
      </c>
      <c r="F2374" s="4" t="s">
        <v>1433</v>
      </c>
      <c r="G2374" s="4">
        <v>15</v>
      </c>
      <c r="H2374" s="4">
        <v>0</v>
      </c>
      <c r="I2374" s="4">
        <v>0</v>
      </c>
      <c r="J2374" s="4"/>
      <c r="K2374" s="4"/>
      <c r="L2374" s="4"/>
      <c r="M2374" s="4"/>
      <c r="N2374" s="4"/>
      <c r="O2374" s="4"/>
    </row>
    <row r="2375" spans="1:15" x14ac:dyDescent="0.3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</row>
    <row r="2376" spans="1:15" x14ac:dyDescent="0.3">
      <c r="A2376" s="4" t="s">
        <v>1232</v>
      </c>
      <c r="B2376" s="4" t="s">
        <v>49</v>
      </c>
      <c r="C2376" s="4" t="s">
        <v>12</v>
      </c>
      <c r="D2376" s="4">
        <v>26390880</v>
      </c>
      <c r="E2376" s="4">
        <v>16</v>
      </c>
      <c r="F2376" s="4" t="s">
        <v>1433</v>
      </c>
      <c r="G2376" s="4">
        <v>16</v>
      </c>
      <c r="H2376" s="4">
        <v>0</v>
      </c>
      <c r="I2376" s="4">
        <v>0</v>
      </c>
      <c r="J2376" s="4"/>
      <c r="K2376" s="4"/>
      <c r="L2376" s="4"/>
      <c r="M2376" s="4"/>
      <c r="N2376" s="4"/>
      <c r="O2376" s="4"/>
    </row>
    <row r="2377" spans="1:15" x14ac:dyDescent="0.3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</row>
    <row r="2378" spans="1:15" x14ac:dyDescent="0.3">
      <c r="A2378" s="4" t="s">
        <v>1233</v>
      </c>
      <c r="B2378" s="4" t="s">
        <v>49</v>
      </c>
      <c r="C2378" s="4" t="s">
        <v>12</v>
      </c>
      <c r="D2378" s="4">
        <v>26391024</v>
      </c>
      <c r="E2378" s="4">
        <v>29</v>
      </c>
      <c r="F2378" s="4" t="s">
        <v>1433</v>
      </c>
      <c r="G2378" s="4">
        <v>29</v>
      </c>
      <c r="H2378" s="4">
        <v>0</v>
      </c>
      <c r="I2378" s="4">
        <v>0</v>
      </c>
      <c r="J2378" s="4"/>
      <c r="K2378" s="4"/>
      <c r="L2378" s="4"/>
      <c r="M2378" s="4"/>
      <c r="N2378" s="4"/>
      <c r="O2378" s="4"/>
    </row>
    <row r="2379" spans="1:15" x14ac:dyDescent="0.3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</row>
    <row r="2380" spans="1:15" x14ac:dyDescent="0.3">
      <c r="A2380" s="4" t="s">
        <v>1234</v>
      </c>
      <c r="B2380" s="4" t="s">
        <v>49</v>
      </c>
      <c r="C2380" s="4" t="s">
        <v>12</v>
      </c>
      <c r="D2380" s="4">
        <v>26391030</v>
      </c>
      <c r="E2380" s="4">
        <v>35</v>
      </c>
      <c r="F2380" s="4" t="s">
        <v>1433</v>
      </c>
      <c r="G2380" s="4">
        <v>35</v>
      </c>
      <c r="H2380" s="4">
        <v>0</v>
      </c>
      <c r="I2380" s="4">
        <v>0</v>
      </c>
      <c r="J2380" s="4"/>
      <c r="K2380" s="4"/>
      <c r="L2380" s="4"/>
      <c r="M2380" s="4"/>
      <c r="N2380" s="4"/>
      <c r="O2380" s="4"/>
    </row>
    <row r="2381" spans="1:15" x14ac:dyDescent="0.3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</row>
    <row r="2382" spans="1:15" x14ac:dyDescent="0.3">
      <c r="A2382" s="4" t="s">
        <v>1235</v>
      </c>
      <c r="B2382" s="4" t="s">
        <v>49</v>
      </c>
      <c r="C2382" s="4" t="s">
        <v>12</v>
      </c>
      <c r="D2382" s="4">
        <v>26391126</v>
      </c>
      <c r="E2382" s="4">
        <v>38</v>
      </c>
      <c r="F2382" s="4" t="s">
        <v>1433</v>
      </c>
      <c r="G2382" s="4">
        <v>38</v>
      </c>
      <c r="H2382" s="4">
        <v>0</v>
      </c>
      <c r="I2382" s="4">
        <v>0</v>
      </c>
      <c r="J2382" s="4"/>
      <c r="K2382" s="4"/>
      <c r="L2382" s="4"/>
      <c r="M2382" s="4"/>
      <c r="N2382" s="4"/>
      <c r="O2382" s="4"/>
    </row>
    <row r="2383" spans="1:15" x14ac:dyDescent="0.3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</row>
    <row r="2384" spans="1:15" x14ac:dyDescent="0.3">
      <c r="A2384" s="4" t="s">
        <v>1236</v>
      </c>
      <c r="B2384" s="4" t="s">
        <v>49</v>
      </c>
      <c r="C2384" s="4" t="s">
        <v>12</v>
      </c>
      <c r="D2384" s="4">
        <v>26391138</v>
      </c>
      <c r="E2384" s="4">
        <v>8</v>
      </c>
      <c r="F2384" s="4" t="s">
        <v>1433</v>
      </c>
      <c r="G2384" s="4">
        <v>8</v>
      </c>
      <c r="H2384" s="4">
        <v>0</v>
      </c>
      <c r="I2384" s="4">
        <v>0</v>
      </c>
      <c r="J2384" s="4"/>
      <c r="K2384" s="4"/>
      <c r="L2384" s="4"/>
      <c r="M2384" s="4"/>
      <c r="N2384" s="4"/>
      <c r="O2384" s="4"/>
    </row>
    <row r="2385" spans="1:15" x14ac:dyDescent="0.3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</row>
    <row r="2386" spans="1:15" x14ac:dyDescent="0.3">
      <c r="A2386" s="4" t="s">
        <v>1237</v>
      </c>
      <c r="B2386" s="4" t="s">
        <v>49</v>
      </c>
      <c r="C2386" s="4" t="s">
        <v>12</v>
      </c>
      <c r="D2386" s="4">
        <v>26391318</v>
      </c>
      <c r="E2386" s="4">
        <v>18</v>
      </c>
      <c r="F2386" s="4" t="s">
        <v>1433</v>
      </c>
      <c r="G2386" s="4">
        <v>18</v>
      </c>
      <c r="H2386" s="4">
        <v>0</v>
      </c>
      <c r="I2386" s="4">
        <v>0</v>
      </c>
      <c r="J2386" s="4"/>
      <c r="K2386" s="4"/>
      <c r="L2386" s="4"/>
      <c r="M2386" s="4"/>
      <c r="N2386" s="4"/>
      <c r="O2386" s="4"/>
    </row>
    <row r="2387" spans="1:15" x14ac:dyDescent="0.3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</row>
    <row r="2388" spans="1:15" x14ac:dyDescent="0.3">
      <c r="A2388" s="4" t="s">
        <v>1238</v>
      </c>
      <c r="B2388" s="4" t="s">
        <v>49</v>
      </c>
      <c r="C2388" s="4" t="s">
        <v>12</v>
      </c>
      <c r="D2388" s="4">
        <v>26391612</v>
      </c>
      <c r="E2388" s="4">
        <v>46</v>
      </c>
      <c r="F2388" s="4" t="s">
        <v>1433</v>
      </c>
      <c r="G2388" s="4">
        <v>46</v>
      </c>
      <c r="H2388" s="4">
        <v>0</v>
      </c>
      <c r="I2388" s="4">
        <v>0</v>
      </c>
      <c r="J2388" s="4"/>
      <c r="K2388" s="4"/>
      <c r="L2388" s="4"/>
      <c r="M2388" s="4"/>
      <c r="N2388" s="4"/>
      <c r="O2388" s="4"/>
    </row>
    <row r="2389" spans="1:15" x14ac:dyDescent="0.3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</row>
    <row r="2390" spans="1:15" x14ac:dyDescent="0.3">
      <c r="A2390" s="4" t="s">
        <v>1239</v>
      </c>
      <c r="B2390" s="4" t="s">
        <v>49</v>
      </c>
      <c r="C2390" s="4" t="s">
        <v>12</v>
      </c>
      <c r="D2390" s="4">
        <v>26391636</v>
      </c>
      <c r="E2390" s="4">
        <v>13</v>
      </c>
      <c r="F2390" s="4" t="s">
        <v>1433</v>
      </c>
      <c r="G2390" s="4">
        <v>13</v>
      </c>
      <c r="H2390" s="4">
        <v>0</v>
      </c>
      <c r="I2390" s="4">
        <v>0</v>
      </c>
      <c r="J2390" s="4"/>
      <c r="K2390" s="4"/>
      <c r="L2390" s="4"/>
      <c r="M2390" s="4"/>
      <c r="N2390" s="4"/>
      <c r="O2390" s="4"/>
    </row>
    <row r="2391" spans="1:15" x14ac:dyDescent="0.3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</row>
    <row r="2392" spans="1:15" x14ac:dyDescent="0.3">
      <c r="A2392" s="4" t="s">
        <v>1240</v>
      </c>
      <c r="B2392" s="4" t="s">
        <v>49</v>
      </c>
      <c r="C2392" s="4" t="s">
        <v>12</v>
      </c>
      <c r="D2392" s="4">
        <v>26392062</v>
      </c>
      <c r="E2392" s="4">
        <v>18</v>
      </c>
      <c r="F2392" s="4" t="s">
        <v>1433</v>
      </c>
      <c r="G2392" s="4">
        <v>18</v>
      </c>
      <c r="H2392" s="4">
        <v>0</v>
      </c>
      <c r="I2392" s="4">
        <v>0</v>
      </c>
      <c r="J2392" s="4"/>
      <c r="K2392" s="4"/>
      <c r="L2392" s="4"/>
      <c r="M2392" s="4"/>
      <c r="N2392" s="4"/>
      <c r="O2392" s="4"/>
    </row>
    <row r="2393" spans="1:15" x14ac:dyDescent="0.3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</row>
    <row r="2394" spans="1:15" x14ac:dyDescent="0.3">
      <c r="A2394" s="4" t="s">
        <v>1241</v>
      </c>
      <c r="B2394" s="4" t="s">
        <v>49</v>
      </c>
      <c r="C2394" s="4" t="s">
        <v>12</v>
      </c>
      <c r="D2394" s="4">
        <v>26392080</v>
      </c>
      <c r="E2394" s="4">
        <v>3394</v>
      </c>
      <c r="F2394" s="4" t="s">
        <v>1433</v>
      </c>
      <c r="G2394" s="4">
        <v>3394</v>
      </c>
      <c r="H2394" s="4">
        <v>0</v>
      </c>
      <c r="I2394" s="4">
        <v>0</v>
      </c>
      <c r="J2394" s="4"/>
      <c r="K2394" s="4"/>
      <c r="L2394" s="4"/>
      <c r="M2394" s="4"/>
      <c r="N2394" s="4"/>
      <c r="O2394" s="4"/>
    </row>
    <row r="2395" spans="1:15" x14ac:dyDescent="0.3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</row>
    <row r="2396" spans="1:15" x14ac:dyDescent="0.3">
      <c r="A2396" s="4" t="s">
        <v>1242</v>
      </c>
      <c r="B2396" s="4" t="s">
        <v>49</v>
      </c>
      <c r="C2396" s="4" t="s">
        <v>12</v>
      </c>
      <c r="D2396" s="4">
        <v>26392218</v>
      </c>
      <c r="E2396" s="4">
        <v>9</v>
      </c>
      <c r="F2396" s="4" t="s">
        <v>1433</v>
      </c>
      <c r="G2396" s="4">
        <v>9</v>
      </c>
      <c r="H2396" s="4">
        <v>0</v>
      </c>
      <c r="I2396" s="4">
        <v>0</v>
      </c>
      <c r="J2396" s="4"/>
      <c r="K2396" s="4"/>
      <c r="L2396" s="4"/>
      <c r="M2396" s="4"/>
      <c r="N2396" s="4"/>
      <c r="O2396" s="4"/>
    </row>
    <row r="2397" spans="1:15" x14ac:dyDescent="0.3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</row>
    <row r="2398" spans="1:15" x14ac:dyDescent="0.3">
      <c r="A2398" s="4" t="s">
        <v>1243</v>
      </c>
      <c r="B2398" s="4" t="s">
        <v>49</v>
      </c>
      <c r="C2398" s="4" t="s">
        <v>12</v>
      </c>
      <c r="D2398" s="4">
        <v>26392704</v>
      </c>
      <c r="E2398" s="4">
        <v>214</v>
      </c>
      <c r="F2398" s="4" t="s">
        <v>1433</v>
      </c>
      <c r="G2398" s="4">
        <v>214</v>
      </c>
      <c r="H2398" s="4">
        <v>0</v>
      </c>
      <c r="I2398" s="4">
        <v>0</v>
      </c>
      <c r="J2398" s="4"/>
      <c r="K2398" s="4"/>
      <c r="L2398" s="4"/>
      <c r="M2398" s="4"/>
      <c r="N2398" s="4"/>
      <c r="O2398" s="4"/>
    </row>
    <row r="2399" spans="1:15" x14ac:dyDescent="0.3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</row>
    <row r="2400" spans="1:15" x14ac:dyDescent="0.3">
      <c r="A2400" s="4" t="s">
        <v>1244</v>
      </c>
      <c r="B2400" s="4" t="s">
        <v>49</v>
      </c>
      <c r="C2400" s="4" t="s">
        <v>12</v>
      </c>
      <c r="D2400" s="4">
        <v>26392944</v>
      </c>
      <c r="E2400" s="4">
        <v>11</v>
      </c>
      <c r="F2400" s="4" t="s">
        <v>1433</v>
      </c>
      <c r="G2400" s="4">
        <v>11</v>
      </c>
      <c r="H2400" s="4">
        <v>0</v>
      </c>
      <c r="I2400" s="4">
        <v>0</v>
      </c>
      <c r="J2400" s="4"/>
      <c r="K2400" s="4"/>
      <c r="L2400" s="4"/>
      <c r="M2400" s="4"/>
      <c r="N2400" s="4"/>
      <c r="O2400" s="4"/>
    </row>
    <row r="2401" spans="1:15" x14ac:dyDescent="0.3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</row>
    <row r="2402" spans="1:15" x14ac:dyDescent="0.3">
      <c r="A2402" s="4" t="s">
        <v>1245</v>
      </c>
      <c r="B2402" s="4" t="s">
        <v>49</v>
      </c>
      <c r="C2402" s="4" t="s">
        <v>12</v>
      </c>
      <c r="D2402" s="4">
        <v>26393400</v>
      </c>
      <c r="E2402" s="4">
        <v>103</v>
      </c>
      <c r="F2402" s="4" t="s">
        <v>1433</v>
      </c>
      <c r="G2402" s="4">
        <v>103</v>
      </c>
      <c r="H2402" s="4">
        <v>0</v>
      </c>
      <c r="I2402" s="4">
        <v>0</v>
      </c>
      <c r="J2402" s="4"/>
      <c r="K2402" s="4"/>
      <c r="L2402" s="4"/>
      <c r="M2402" s="4"/>
      <c r="N2402" s="4"/>
      <c r="O2402" s="4"/>
    </row>
    <row r="2403" spans="1:15" x14ac:dyDescent="0.3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</row>
    <row r="2404" spans="1:15" x14ac:dyDescent="0.3">
      <c r="A2404" s="4" t="s">
        <v>1246</v>
      </c>
      <c r="B2404" s="4" t="s">
        <v>49</v>
      </c>
      <c r="C2404" s="4" t="s">
        <v>12</v>
      </c>
      <c r="D2404" s="4">
        <v>26393466</v>
      </c>
      <c r="E2404" s="4">
        <v>25</v>
      </c>
      <c r="F2404" s="4" t="s">
        <v>1433</v>
      </c>
      <c r="G2404" s="4">
        <v>25</v>
      </c>
      <c r="H2404" s="4">
        <v>0</v>
      </c>
      <c r="I2404" s="4">
        <v>0</v>
      </c>
      <c r="J2404" s="4"/>
      <c r="K2404" s="4"/>
      <c r="L2404" s="4"/>
      <c r="M2404" s="4"/>
      <c r="N2404" s="4"/>
      <c r="O2404" s="4"/>
    </row>
    <row r="2405" spans="1:15" x14ac:dyDescent="0.3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</row>
    <row r="2406" spans="1:15" x14ac:dyDescent="0.3">
      <c r="A2406" s="4" t="s">
        <v>1247</v>
      </c>
      <c r="B2406" s="4" t="s">
        <v>49</v>
      </c>
      <c r="C2406" s="4" t="s">
        <v>12</v>
      </c>
      <c r="D2406" s="4">
        <v>26393586</v>
      </c>
      <c r="E2406" s="4">
        <v>31</v>
      </c>
      <c r="F2406" s="4" t="s">
        <v>1433</v>
      </c>
      <c r="G2406" s="4">
        <v>31</v>
      </c>
      <c r="H2406" s="4">
        <v>0</v>
      </c>
      <c r="I2406" s="4">
        <v>0</v>
      </c>
      <c r="J2406" s="4"/>
      <c r="K2406" s="4"/>
      <c r="L2406" s="4"/>
      <c r="M2406" s="4"/>
      <c r="N2406" s="4"/>
      <c r="O2406" s="4"/>
    </row>
    <row r="2407" spans="1:15" x14ac:dyDescent="0.3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</row>
    <row r="2408" spans="1:15" x14ac:dyDescent="0.3">
      <c r="A2408" s="4" t="s">
        <v>1248</v>
      </c>
      <c r="B2408" s="4" t="s">
        <v>49</v>
      </c>
      <c r="C2408" s="4" t="s">
        <v>12</v>
      </c>
      <c r="D2408" s="4">
        <v>26393658</v>
      </c>
      <c r="E2408" s="4">
        <v>140</v>
      </c>
      <c r="F2408" s="4" t="s">
        <v>1433</v>
      </c>
      <c r="G2408" s="4">
        <v>140</v>
      </c>
      <c r="H2408" s="4">
        <v>0</v>
      </c>
      <c r="I2408" s="4">
        <v>0</v>
      </c>
      <c r="J2408" s="4"/>
      <c r="K2408" s="4"/>
      <c r="L2408" s="4"/>
      <c r="M2408" s="4"/>
      <c r="N2408" s="4"/>
      <c r="O2408" s="4"/>
    </row>
    <row r="2409" spans="1:15" x14ac:dyDescent="0.3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</row>
    <row r="2410" spans="1:15" x14ac:dyDescent="0.3">
      <c r="A2410" s="4" t="s">
        <v>1249</v>
      </c>
      <c r="B2410" s="4" t="s">
        <v>49</v>
      </c>
      <c r="C2410" s="4" t="s">
        <v>12</v>
      </c>
      <c r="D2410" s="4">
        <v>26393814</v>
      </c>
      <c r="E2410" s="4">
        <v>118</v>
      </c>
      <c r="F2410" s="4" t="s">
        <v>1433</v>
      </c>
      <c r="G2410" s="4">
        <v>118</v>
      </c>
      <c r="H2410" s="4">
        <v>0</v>
      </c>
      <c r="I2410" s="4">
        <v>0</v>
      </c>
      <c r="J2410" s="4"/>
      <c r="K2410" s="4"/>
      <c r="L2410" s="4"/>
      <c r="M2410" s="4"/>
      <c r="N2410" s="4"/>
      <c r="O2410" s="4"/>
    </row>
    <row r="2411" spans="1:15" x14ac:dyDescent="0.3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</row>
    <row r="2412" spans="1:15" x14ac:dyDescent="0.3">
      <c r="A2412" s="4" t="s">
        <v>1250</v>
      </c>
      <c r="B2412" s="4" t="s">
        <v>49</v>
      </c>
      <c r="C2412" s="4" t="s">
        <v>12</v>
      </c>
      <c r="D2412" s="4">
        <v>26393982</v>
      </c>
      <c r="E2412" s="4">
        <v>15</v>
      </c>
      <c r="F2412" s="4" t="s">
        <v>1433</v>
      </c>
      <c r="G2412" s="4">
        <v>15</v>
      </c>
      <c r="H2412" s="4">
        <v>0</v>
      </c>
      <c r="I2412" s="4">
        <v>0</v>
      </c>
      <c r="J2412" s="4"/>
      <c r="K2412" s="4"/>
      <c r="L2412" s="4"/>
      <c r="M2412" s="4"/>
      <c r="N2412" s="4"/>
      <c r="O2412" s="4"/>
    </row>
    <row r="2413" spans="1:15" x14ac:dyDescent="0.3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</row>
    <row r="2414" spans="1:15" x14ac:dyDescent="0.3">
      <c r="A2414" s="4" t="s">
        <v>1251</v>
      </c>
      <c r="B2414" s="4" t="s">
        <v>49</v>
      </c>
      <c r="C2414" s="4" t="s">
        <v>12</v>
      </c>
      <c r="D2414" s="4">
        <v>26394054</v>
      </c>
      <c r="E2414" s="4">
        <v>25</v>
      </c>
      <c r="F2414" s="4" t="s">
        <v>1433</v>
      </c>
      <c r="G2414" s="4">
        <v>25</v>
      </c>
      <c r="H2414" s="4">
        <v>0</v>
      </c>
      <c r="I2414" s="4">
        <v>0</v>
      </c>
      <c r="J2414" s="4"/>
      <c r="K2414" s="4"/>
      <c r="L2414" s="4"/>
      <c r="M2414" s="4"/>
      <c r="N2414" s="4"/>
      <c r="O2414" s="4"/>
    </row>
    <row r="2415" spans="1:15" x14ac:dyDescent="0.3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</row>
    <row r="2416" spans="1:15" x14ac:dyDescent="0.3">
      <c r="A2416" s="4" t="s">
        <v>1252</v>
      </c>
      <c r="B2416" s="4" t="s">
        <v>49</v>
      </c>
      <c r="C2416" s="4" t="s">
        <v>12</v>
      </c>
      <c r="D2416" s="4">
        <v>26394186</v>
      </c>
      <c r="E2416" s="4">
        <v>13</v>
      </c>
      <c r="F2416" s="4" t="s">
        <v>1433</v>
      </c>
      <c r="G2416" s="4">
        <v>13</v>
      </c>
      <c r="H2416" s="4">
        <v>0</v>
      </c>
      <c r="I2416" s="4">
        <v>0</v>
      </c>
      <c r="J2416" s="4"/>
      <c r="K2416" s="4"/>
      <c r="L2416" s="4"/>
      <c r="M2416" s="4"/>
      <c r="N2416" s="4"/>
      <c r="O2416" s="4"/>
    </row>
    <row r="2417" spans="1:15" x14ac:dyDescent="0.3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</row>
    <row r="2418" spans="1:15" x14ac:dyDescent="0.3">
      <c r="A2418" s="4" t="s">
        <v>1253</v>
      </c>
      <c r="B2418" s="4" t="s">
        <v>49</v>
      </c>
      <c r="C2418" s="4" t="s">
        <v>12</v>
      </c>
      <c r="D2418" s="4">
        <v>26394306</v>
      </c>
      <c r="E2418" s="4">
        <v>13</v>
      </c>
      <c r="F2418" s="4" t="s">
        <v>1433</v>
      </c>
      <c r="G2418" s="4">
        <v>13</v>
      </c>
      <c r="H2418" s="4">
        <v>0</v>
      </c>
      <c r="I2418" s="4">
        <v>0</v>
      </c>
      <c r="J2418" s="4"/>
      <c r="K2418" s="4"/>
      <c r="L2418" s="4"/>
      <c r="M2418" s="4"/>
      <c r="N2418" s="4"/>
      <c r="O2418" s="4"/>
    </row>
    <row r="2419" spans="1:15" x14ac:dyDescent="0.3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</row>
    <row r="2420" spans="1:15" x14ac:dyDescent="0.3">
      <c r="A2420" s="4" t="s">
        <v>1254</v>
      </c>
      <c r="B2420" s="4" t="s">
        <v>49</v>
      </c>
      <c r="C2420" s="4" t="s">
        <v>12</v>
      </c>
      <c r="D2420" s="4">
        <v>26394390</v>
      </c>
      <c r="E2420" s="4">
        <v>22</v>
      </c>
      <c r="F2420" s="4" t="s">
        <v>1433</v>
      </c>
      <c r="G2420" s="4">
        <v>22</v>
      </c>
      <c r="H2420" s="4">
        <v>0</v>
      </c>
      <c r="I2420" s="4">
        <v>0</v>
      </c>
      <c r="J2420" s="4"/>
      <c r="K2420" s="4"/>
      <c r="L2420" s="4"/>
      <c r="M2420" s="4"/>
      <c r="N2420" s="4"/>
      <c r="O2420" s="4"/>
    </row>
    <row r="2421" spans="1:15" x14ac:dyDescent="0.3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</row>
    <row r="2422" spans="1:15" x14ac:dyDescent="0.3">
      <c r="A2422" s="4" t="s">
        <v>1255</v>
      </c>
      <c r="B2422" s="4" t="s">
        <v>49</v>
      </c>
      <c r="C2422" s="4" t="s">
        <v>12</v>
      </c>
      <c r="D2422" s="4">
        <v>26394420</v>
      </c>
      <c r="E2422" s="4">
        <v>13</v>
      </c>
      <c r="F2422" s="4" t="s">
        <v>1433</v>
      </c>
      <c r="G2422" s="4">
        <v>13</v>
      </c>
      <c r="H2422" s="4">
        <v>0</v>
      </c>
      <c r="I2422" s="4">
        <v>0</v>
      </c>
      <c r="J2422" s="4"/>
      <c r="K2422" s="4"/>
      <c r="L2422" s="4"/>
      <c r="M2422" s="4"/>
      <c r="N2422" s="4"/>
      <c r="O2422" s="4"/>
    </row>
    <row r="2423" spans="1:15" x14ac:dyDescent="0.3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</row>
    <row r="2424" spans="1:15" x14ac:dyDescent="0.3">
      <c r="A2424" s="4" t="s">
        <v>1256</v>
      </c>
      <c r="B2424" s="4" t="s">
        <v>49</v>
      </c>
      <c r="C2424" s="4" t="s">
        <v>12</v>
      </c>
      <c r="D2424" s="4">
        <v>26394888</v>
      </c>
      <c r="E2424" s="4">
        <v>12</v>
      </c>
      <c r="F2424" s="4" t="s">
        <v>1433</v>
      </c>
      <c r="G2424" s="4">
        <v>12</v>
      </c>
      <c r="H2424" s="4">
        <v>0</v>
      </c>
      <c r="I2424" s="4">
        <v>0</v>
      </c>
      <c r="J2424" s="4"/>
      <c r="K2424" s="4"/>
      <c r="L2424" s="4"/>
      <c r="M2424" s="4"/>
      <c r="N2424" s="4"/>
      <c r="O2424" s="4"/>
    </row>
    <row r="2425" spans="1:15" x14ac:dyDescent="0.3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</row>
    <row r="2426" spans="1:15" x14ac:dyDescent="0.3">
      <c r="A2426" s="4" t="s">
        <v>1257</v>
      </c>
      <c r="B2426" s="4" t="s">
        <v>49</v>
      </c>
      <c r="C2426" s="4" t="s">
        <v>12</v>
      </c>
      <c r="D2426" s="4">
        <v>26394954</v>
      </c>
      <c r="E2426" s="4">
        <v>93</v>
      </c>
      <c r="F2426" s="4" t="s">
        <v>1433</v>
      </c>
      <c r="G2426" s="4">
        <v>93</v>
      </c>
      <c r="H2426" s="4">
        <v>0</v>
      </c>
      <c r="I2426" s="4">
        <v>0</v>
      </c>
      <c r="J2426" s="4"/>
      <c r="K2426" s="4"/>
      <c r="L2426" s="4"/>
      <c r="M2426" s="4"/>
      <c r="N2426" s="4"/>
      <c r="O2426" s="4"/>
    </row>
    <row r="2427" spans="1:15" x14ac:dyDescent="0.3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</row>
    <row r="2428" spans="1:15" x14ac:dyDescent="0.3">
      <c r="A2428" s="4" t="s">
        <v>1258</v>
      </c>
      <c r="B2428" s="4" t="s">
        <v>49</v>
      </c>
      <c r="C2428" s="4" t="s">
        <v>12</v>
      </c>
      <c r="D2428" s="4">
        <v>26395020</v>
      </c>
      <c r="E2428" s="4">
        <v>23</v>
      </c>
      <c r="F2428" s="4" t="s">
        <v>1433</v>
      </c>
      <c r="G2428" s="4">
        <v>23</v>
      </c>
      <c r="H2428" s="4">
        <v>0</v>
      </c>
      <c r="I2428" s="4">
        <v>0</v>
      </c>
      <c r="J2428" s="4"/>
      <c r="K2428" s="4"/>
      <c r="L2428" s="4"/>
      <c r="M2428" s="4"/>
      <c r="N2428" s="4"/>
      <c r="O2428" s="4"/>
    </row>
    <row r="2429" spans="1:15" x14ac:dyDescent="0.3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</row>
    <row r="2430" spans="1:15" x14ac:dyDescent="0.3">
      <c r="A2430" s="4" t="s">
        <v>1259</v>
      </c>
      <c r="B2430" s="4" t="s">
        <v>49</v>
      </c>
      <c r="C2430" s="4" t="s">
        <v>12</v>
      </c>
      <c r="D2430" s="4">
        <v>26395176</v>
      </c>
      <c r="E2430" s="4">
        <v>65</v>
      </c>
      <c r="F2430" s="4" t="s">
        <v>1433</v>
      </c>
      <c r="G2430" s="4">
        <v>65</v>
      </c>
      <c r="H2430" s="4">
        <v>0</v>
      </c>
      <c r="I2430" s="4">
        <v>0</v>
      </c>
      <c r="J2430" s="4"/>
      <c r="K2430" s="4"/>
      <c r="L2430" s="4"/>
      <c r="M2430" s="4"/>
      <c r="N2430" s="4"/>
      <c r="O2430" s="4"/>
    </row>
    <row r="2431" spans="1:15" x14ac:dyDescent="0.3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</row>
    <row r="2432" spans="1:15" x14ac:dyDescent="0.3">
      <c r="A2432" s="4" t="s">
        <v>1260</v>
      </c>
      <c r="B2432" s="4" t="s">
        <v>49</v>
      </c>
      <c r="C2432" s="4" t="s">
        <v>12</v>
      </c>
      <c r="D2432" s="4">
        <v>26395464</v>
      </c>
      <c r="E2432" s="4">
        <v>30</v>
      </c>
      <c r="F2432" s="4" t="s">
        <v>1433</v>
      </c>
      <c r="G2432" s="4">
        <v>30</v>
      </c>
      <c r="H2432" s="4">
        <v>0</v>
      </c>
      <c r="I2432" s="4">
        <v>0</v>
      </c>
      <c r="J2432" s="4"/>
      <c r="K2432" s="4"/>
      <c r="L2432" s="4"/>
      <c r="M2432" s="4"/>
      <c r="N2432" s="4"/>
      <c r="O2432" s="4"/>
    </row>
    <row r="2433" spans="1:15" x14ac:dyDescent="0.3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</row>
    <row r="2434" spans="1:15" x14ac:dyDescent="0.3">
      <c r="A2434" s="4" t="s">
        <v>1261</v>
      </c>
      <c r="B2434" s="4" t="s">
        <v>49</v>
      </c>
      <c r="C2434" s="4" t="s">
        <v>12</v>
      </c>
      <c r="D2434" s="4">
        <v>26395500</v>
      </c>
      <c r="E2434" s="4">
        <v>40</v>
      </c>
      <c r="F2434" s="4" t="s">
        <v>1433</v>
      </c>
      <c r="G2434" s="4">
        <v>40</v>
      </c>
      <c r="H2434" s="4">
        <v>0</v>
      </c>
      <c r="I2434" s="4">
        <v>0</v>
      </c>
      <c r="J2434" s="4"/>
      <c r="K2434" s="4"/>
      <c r="L2434" s="4"/>
      <c r="M2434" s="4"/>
      <c r="N2434" s="4"/>
      <c r="O2434" s="4"/>
    </row>
    <row r="2435" spans="1:15" x14ac:dyDescent="0.3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</row>
    <row r="2436" spans="1:15" x14ac:dyDescent="0.3">
      <c r="A2436" s="4" t="s">
        <v>1262</v>
      </c>
      <c r="B2436" s="4" t="s">
        <v>49</v>
      </c>
      <c r="C2436" s="4" t="s">
        <v>12</v>
      </c>
      <c r="D2436" s="4">
        <v>26395536</v>
      </c>
      <c r="E2436" s="4">
        <v>19</v>
      </c>
      <c r="F2436" s="4" t="s">
        <v>1433</v>
      </c>
      <c r="G2436" s="4">
        <v>19</v>
      </c>
      <c r="H2436" s="4">
        <v>0</v>
      </c>
      <c r="I2436" s="4">
        <v>0</v>
      </c>
      <c r="J2436" s="4"/>
      <c r="K2436" s="4"/>
      <c r="L2436" s="4"/>
      <c r="M2436" s="4"/>
      <c r="N2436" s="4"/>
      <c r="O2436" s="4"/>
    </row>
    <row r="2437" spans="1:15" x14ac:dyDescent="0.3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</row>
    <row r="2438" spans="1:15" x14ac:dyDescent="0.3">
      <c r="A2438" s="4" t="s">
        <v>1263</v>
      </c>
      <c r="B2438" s="4" t="s">
        <v>49</v>
      </c>
      <c r="C2438" s="4" t="s">
        <v>12</v>
      </c>
      <c r="D2438" s="4">
        <v>26395614</v>
      </c>
      <c r="E2438" s="4">
        <v>16</v>
      </c>
      <c r="F2438" s="4" t="s">
        <v>1433</v>
      </c>
      <c r="G2438" s="4">
        <v>16</v>
      </c>
      <c r="H2438" s="4">
        <v>0</v>
      </c>
      <c r="I2438" s="4">
        <v>0</v>
      </c>
      <c r="J2438" s="4"/>
      <c r="K2438" s="4"/>
      <c r="L2438" s="4"/>
      <c r="M2438" s="4"/>
      <c r="N2438" s="4"/>
      <c r="O2438" s="4"/>
    </row>
    <row r="2439" spans="1:15" x14ac:dyDescent="0.3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</row>
    <row r="2440" spans="1:15" x14ac:dyDescent="0.3">
      <c r="A2440" s="4" t="s">
        <v>1264</v>
      </c>
      <c r="B2440" s="4" t="s">
        <v>49</v>
      </c>
      <c r="C2440" s="4" t="s">
        <v>12</v>
      </c>
      <c r="D2440" s="4">
        <v>26395668</v>
      </c>
      <c r="E2440" s="4">
        <v>88</v>
      </c>
      <c r="F2440" s="4" t="s">
        <v>1433</v>
      </c>
      <c r="G2440" s="4">
        <v>88</v>
      </c>
      <c r="H2440" s="4">
        <v>0</v>
      </c>
      <c r="I2440" s="4">
        <v>0</v>
      </c>
      <c r="J2440" s="4"/>
      <c r="K2440" s="4"/>
      <c r="L2440" s="4"/>
      <c r="M2440" s="4"/>
      <c r="N2440" s="4"/>
      <c r="O2440" s="4"/>
    </row>
    <row r="2441" spans="1:15" x14ac:dyDescent="0.3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</row>
    <row r="2442" spans="1:15" x14ac:dyDescent="0.3">
      <c r="A2442" s="4" t="s">
        <v>1265</v>
      </c>
      <c r="B2442" s="4" t="s">
        <v>49</v>
      </c>
      <c r="C2442" s="4" t="s">
        <v>12</v>
      </c>
      <c r="D2442" s="4">
        <v>26395734</v>
      </c>
      <c r="E2442" s="4">
        <v>17</v>
      </c>
      <c r="F2442" s="4" t="s">
        <v>1433</v>
      </c>
      <c r="G2442" s="4">
        <v>17</v>
      </c>
      <c r="H2442" s="4">
        <v>0</v>
      </c>
      <c r="I2442" s="4">
        <v>0</v>
      </c>
      <c r="J2442" s="4"/>
      <c r="K2442" s="4"/>
      <c r="L2442" s="4"/>
      <c r="M2442" s="4"/>
      <c r="N2442" s="4"/>
      <c r="O2442" s="4"/>
    </row>
    <row r="2443" spans="1:15" x14ac:dyDescent="0.3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</row>
    <row r="2444" spans="1:15" x14ac:dyDescent="0.3">
      <c r="A2444" s="4" t="s">
        <v>1266</v>
      </c>
      <c r="B2444" s="4" t="s">
        <v>49</v>
      </c>
      <c r="C2444" s="4" t="s">
        <v>12</v>
      </c>
      <c r="D2444" s="4">
        <v>26395764</v>
      </c>
      <c r="E2444" s="4">
        <v>15</v>
      </c>
      <c r="F2444" s="4" t="s">
        <v>1433</v>
      </c>
      <c r="G2444" s="4">
        <v>15</v>
      </c>
      <c r="H2444" s="4">
        <v>0</v>
      </c>
      <c r="I2444" s="4">
        <v>0</v>
      </c>
      <c r="J2444" s="4"/>
      <c r="K2444" s="4"/>
      <c r="L2444" s="4"/>
      <c r="M2444" s="4"/>
      <c r="N2444" s="4"/>
      <c r="O2444" s="4"/>
    </row>
    <row r="2445" spans="1:15" x14ac:dyDescent="0.3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</row>
    <row r="2446" spans="1:15" x14ac:dyDescent="0.3">
      <c r="A2446" s="4" t="s">
        <v>1267</v>
      </c>
      <c r="B2446" s="4" t="s">
        <v>49</v>
      </c>
      <c r="C2446" s="4" t="s">
        <v>12</v>
      </c>
      <c r="D2446" s="4">
        <v>26395770</v>
      </c>
      <c r="E2446" s="4">
        <v>32</v>
      </c>
      <c r="F2446" s="4" t="s">
        <v>1433</v>
      </c>
      <c r="G2446" s="4">
        <v>32</v>
      </c>
      <c r="H2446" s="4">
        <v>0</v>
      </c>
      <c r="I2446" s="4">
        <v>0</v>
      </c>
      <c r="J2446" s="4"/>
      <c r="K2446" s="4"/>
      <c r="L2446" s="4"/>
      <c r="M2446" s="4"/>
      <c r="N2446" s="4"/>
      <c r="O2446" s="4"/>
    </row>
    <row r="2447" spans="1:15" x14ac:dyDescent="0.3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</row>
    <row r="2448" spans="1:15" x14ac:dyDescent="0.3">
      <c r="A2448" s="4" t="s">
        <v>1268</v>
      </c>
      <c r="B2448" s="4" t="s">
        <v>49</v>
      </c>
      <c r="C2448" s="4" t="s">
        <v>12</v>
      </c>
      <c r="D2448" s="4">
        <v>26395848</v>
      </c>
      <c r="E2448" s="4">
        <v>16</v>
      </c>
      <c r="F2448" s="4" t="s">
        <v>1433</v>
      </c>
      <c r="G2448" s="4">
        <v>16</v>
      </c>
      <c r="H2448" s="4">
        <v>0</v>
      </c>
      <c r="I2448" s="4">
        <v>0</v>
      </c>
      <c r="J2448" s="4"/>
      <c r="K2448" s="4"/>
      <c r="L2448" s="4"/>
      <c r="M2448" s="4"/>
      <c r="N2448" s="4"/>
      <c r="O2448" s="4"/>
    </row>
    <row r="2449" spans="1:15" x14ac:dyDescent="0.3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</row>
    <row r="2450" spans="1:15" x14ac:dyDescent="0.3">
      <c r="A2450" s="4" t="s">
        <v>1269</v>
      </c>
      <c r="B2450" s="4" t="s">
        <v>49</v>
      </c>
      <c r="C2450" s="4" t="s">
        <v>12</v>
      </c>
      <c r="D2450" s="4">
        <v>26395956</v>
      </c>
      <c r="E2450" s="4">
        <v>43</v>
      </c>
      <c r="F2450" s="4" t="s">
        <v>1433</v>
      </c>
      <c r="G2450" s="4">
        <v>43</v>
      </c>
      <c r="H2450" s="4">
        <v>0</v>
      </c>
      <c r="I2450" s="4">
        <v>0</v>
      </c>
      <c r="J2450" s="4"/>
      <c r="K2450" s="4"/>
      <c r="L2450" s="4"/>
      <c r="M2450" s="4"/>
      <c r="N2450" s="4"/>
      <c r="O2450" s="4"/>
    </row>
    <row r="2451" spans="1:15" x14ac:dyDescent="0.3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</row>
    <row r="2452" spans="1:15" x14ac:dyDescent="0.3">
      <c r="A2452" s="4" t="s">
        <v>1270</v>
      </c>
      <c r="B2452" s="4" t="s">
        <v>49</v>
      </c>
      <c r="C2452" s="4" t="s">
        <v>12</v>
      </c>
      <c r="D2452" s="4">
        <v>26396160</v>
      </c>
      <c r="E2452" s="4">
        <v>114</v>
      </c>
      <c r="F2452" s="4" t="s">
        <v>1433</v>
      </c>
      <c r="G2452" s="4">
        <v>114</v>
      </c>
      <c r="H2452" s="4">
        <v>0</v>
      </c>
      <c r="I2452" s="4">
        <v>0</v>
      </c>
      <c r="J2452" s="4"/>
      <c r="K2452" s="4"/>
      <c r="L2452" s="4"/>
      <c r="M2452" s="4"/>
      <c r="N2452" s="4"/>
      <c r="O2452" s="4"/>
    </row>
    <row r="2453" spans="1:15" x14ac:dyDescent="0.3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</row>
    <row r="2454" spans="1:15" x14ac:dyDescent="0.3">
      <c r="A2454" s="4" t="s">
        <v>1271</v>
      </c>
      <c r="B2454" s="4" t="s">
        <v>49</v>
      </c>
      <c r="C2454" s="4" t="s">
        <v>12</v>
      </c>
      <c r="D2454" s="4">
        <v>26396268</v>
      </c>
      <c r="E2454" s="4">
        <v>133</v>
      </c>
      <c r="F2454" s="4" t="s">
        <v>1433</v>
      </c>
      <c r="G2454" s="4">
        <v>133</v>
      </c>
      <c r="H2454" s="4">
        <v>0</v>
      </c>
      <c r="I2454" s="4">
        <v>0</v>
      </c>
      <c r="J2454" s="4"/>
      <c r="K2454" s="4"/>
      <c r="L2454" s="4"/>
      <c r="M2454" s="4"/>
      <c r="N2454" s="4"/>
      <c r="O2454" s="4"/>
    </row>
    <row r="2455" spans="1:15" x14ac:dyDescent="0.3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</row>
    <row r="2456" spans="1:15" x14ac:dyDescent="0.3">
      <c r="A2456" s="4" t="s">
        <v>1272</v>
      </c>
      <c r="B2456" s="4" t="s">
        <v>49</v>
      </c>
      <c r="C2456" s="4" t="s">
        <v>12</v>
      </c>
      <c r="D2456" s="4">
        <v>26396490</v>
      </c>
      <c r="E2456" s="4">
        <v>19</v>
      </c>
      <c r="F2456" s="4" t="s">
        <v>1433</v>
      </c>
      <c r="G2456" s="4">
        <v>19</v>
      </c>
      <c r="H2456" s="4">
        <v>0</v>
      </c>
      <c r="I2456" s="4">
        <v>0</v>
      </c>
      <c r="J2456" s="4"/>
      <c r="K2456" s="4"/>
      <c r="L2456" s="4"/>
      <c r="M2456" s="4"/>
      <c r="N2456" s="4"/>
      <c r="O2456" s="4"/>
    </row>
    <row r="2457" spans="1:15" x14ac:dyDescent="0.3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</row>
    <row r="2458" spans="1:15" x14ac:dyDescent="0.3">
      <c r="A2458" s="4" t="s">
        <v>1273</v>
      </c>
      <c r="B2458" s="4" t="s">
        <v>49</v>
      </c>
      <c r="C2458" s="4" t="s">
        <v>12</v>
      </c>
      <c r="D2458" s="4">
        <v>26396532</v>
      </c>
      <c r="E2458" s="4">
        <v>15</v>
      </c>
      <c r="F2458" s="4" t="s">
        <v>1433</v>
      </c>
      <c r="G2458" s="4">
        <v>15</v>
      </c>
      <c r="H2458" s="4">
        <v>0</v>
      </c>
      <c r="I2458" s="4">
        <v>0</v>
      </c>
      <c r="J2458" s="4"/>
      <c r="K2458" s="4"/>
      <c r="L2458" s="4"/>
      <c r="M2458" s="4"/>
      <c r="N2458" s="4"/>
      <c r="O2458" s="4"/>
    </row>
    <row r="2459" spans="1:15" x14ac:dyDescent="0.3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</row>
    <row r="2460" spans="1:15" x14ac:dyDescent="0.3">
      <c r="A2460" s="4" t="s">
        <v>1274</v>
      </c>
      <c r="B2460" s="4" t="s">
        <v>49</v>
      </c>
      <c r="C2460" s="4" t="s">
        <v>12</v>
      </c>
      <c r="D2460" s="4">
        <v>26396562</v>
      </c>
      <c r="E2460" s="4">
        <v>15</v>
      </c>
      <c r="F2460" s="4" t="s">
        <v>1433</v>
      </c>
      <c r="G2460" s="4">
        <v>15</v>
      </c>
      <c r="H2460" s="4">
        <v>0</v>
      </c>
      <c r="I2460" s="4">
        <v>0</v>
      </c>
      <c r="J2460" s="4"/>
      <c r="K2460" s="4"/>
      <c r="L2460" s="4"/>
      <c r="M2460" s="4"/>
      <c r="N2460" s="4"/>
      <c r="O2460" s="4"/>
    </row>
    <row r="2461" spans="1:15" x14ac:dyDescent="0.3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</row>
    <row r="2462" spans="1:15" x14ac:dyDescent="0.3">
      <c r="A2462" s="4" t="s">
        <v>1275</v>
      </c>
      <c r="B2462" s="4" t="s">
        <v>49</v>
      </c>
      <c r="C2462" s="4" t="s">
        <v>12</v>
      </c>
      <c r="D2462" s="4">
        <v>26396670</v>
      </c>
      <c r="E2462" s="4">
        <v>81</v>
      </c>
      <c r="F2462" s="4" t="s">
        <v>1433</v>
      </c>
      <c r="G2462" s="4">
        <v>81</v>
      </c>
      <c r="H2462" s="4">
        <v>0</v>
      </c>
      <c r="I2462" s="4">
        <v>0</v>
      </c>
      <c r="J2462" s="4"/>
      <c r="K2462" s="4"/>
      <c r="L2462" s="4"/>
      <c r="M2462" s="4"/>
      <c r="N2462" s="4"/>
      <c r="O2462" s="4"/>
    </row>
    <row r="2463" spans="1:15" x14ac:dyDescent="0.3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</row>
    <row r="2464" spans="1:15" x14ac:dyDescent="0.3">
      <c r="A2464" s="4" t="s">
        <v>1276</v>
      </c>
      <c r="B2464" s="4" t="s">
        <v>49</v>
      </c>
      <c r="C2464" s="4" t="s">
        <v>12</v>
      </c>
      <c r="D2464" s="4">
        <v>26396712</v>
      </c>
      <c r="E2464" s="4">
        <v>18</v>
      </c>
      <c r="F2464" s="4" t="s">
        <v>1433</v>
      </c>
      <c r="G2464" s="4">
        <v>18</v>
      </c>
      <c r="H2464" s="4">
        <v>0</v>
      </c>
      <c r="I2464" s="4">
        <v>0</v>
      </c>
      <c r="J2464" s="4"/>
      <c r="K2464" s="4"/>
      <c r="L2464" s="4"/>
      <c r="M2464" s="4"/>
      <c r="N2464" s="4"/>
      <c r="O2464" s="4"/>
    </row>
    <row r="2465" spans="1:15" x14ac:dyDescent="0.3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</row>
    <row r="2466" spans="1:15" x14ac:dyDescent="0.3">
      <c r="A2466" s="4" t="s">
        <v>1277</v>
      </c>
      <c r="B2466" s="4" t="s">
        <v>49</v>
      </c>
      <c r="C2466" s="4" t="s">
        <v>12</v>
      </c>
      <c r="D2466" s="4">
        <v>26396952</v>
      </c>
      <c r="E2466" s="4">
        <v>21</v>
      </c>
      <c r="F2466" s="4" t="s">
        <v>1433</v>
      </c>
      <c r="G2466" s="4">
        <v>21</v>
      </c>
      <c r="H2466" s="4">
        <v>0</v>
      </c>
      <c r="I2466" s="4">
        <v>0</v>
      </c>
      <c r="J2466" s="4"/>
      <c r="K2466" s="4"/>
      <c r="L2466" s="4"/>
      <c r="M2466" s="4"/>
      <c r="N2466" s="4"/>
      <c r="O2466" s="4"/>
    </row>
    <row r="2467" spans="1:15" x14ac:dyDescent="0.3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</row>
    <row r="2468" spans="1:15" x14ac:dyDescent="0.3">
      <c r="A2468" s="4" t="s">
        <v>1278</v>
      </c>
      <c r="B2468" s="4" t="s">
        <v>49</v>
      </c>
      <c r="C2468" s="4" t="s">
        <v>12</v>
      </c>
      <c r="D2468" s="4">
        <v>26397096</v>
      </c>
      <c r="E2468" s="4">
        <v>78</v>
      </c>
      <c r="F2468" s="4" t="s">
        <v>1433</v>
      </c>
      <c r="G2468" s="4">
        <v>78</v>
      </c>
      <c r="H2468" s="4">
        <v>0</v>
      </c>
      <c r="I2468" s="4">
        <v>0</v>
      </c>
      <c r="J2468" s="4"/>
      <c r="K2468" s="4"/>
      <c r="L2468" s="4"/>
      <c r="M2468" s="4"/>
      <c r="N2468" s="4"/>
      <c r="O2468" s="4"/>
    </row>
    <row r="2469" spans="1:15" x14ac:dyDescent="0.3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</row>
    <row r="2470" spans="1:15" x14ac:dyDescent="0.3">
      <c r="A2470" s="4" t="s">
        <v>1279</v>
      </c>
      <c r="B2470" s="4" t="s">
        <v>49</v>
      </c>
      <c r="C2470" s="4" t="s">
        <v>12</v>
      </c>
      <c r="D2470" s="4">
        <v>26397186</v>
      </c>
      <c r="E2470" s="4">
        <v>16</v>
      </c>
      <c r="F2470" s="4" t="s">
        <v>1433</v>
      </c>
      <c r="G2470" s="4">
        <v>16</v>
      </c>
      <c r="H2470" s="4">
        <v>0</v>
      </c>
      <c r="I2470" s="4">
        <v>0</v>
      </c>
      <c r="J2470" s="4"/>
      <c r="K2470" s="4"/>
      <c r="L2470" s="4"/>
      <c r="M2470" s="4"/>
      <c r="N2470" s="4"/>
      <c r="O2470" s="4"/>
    </row>
    <row r="2471" spans="1:15" x14ac:dyDescent="0.3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</row>
    <row r="2472" spans="1:15" x14ac:dyDescent="0.3">
      <c r="A2472" s="4" t="s">
        <v>1280</v>
      </c>
      <c r="B2472" s="4" t="s">
        <v>49</v>
      </c>
      <c r="C2472" s="4" t="s">
        <v>12</v>
      </c>
      <c r="D2472" s="4">
        <v>26397480</v>
      </c>
      <c r="E2472" s="4">
        <v>15</v>
      </c>
      <c r="F2472" s="4" t="s">
        <v>1433</v>
      </c>
      <c r="G2472" s="4">
        <v>15</v>
      </c>
      <c r="H2472" s="4">
        <v>0</v>
      </c>
      <c r="I2472" s="4">
        <v>0</v>
      </c>
      <c r="J2472" s="4"/>
      <c r="K2472" s="4"/>
      <c r="L2472" s="4"/>
      <c r="M2472" s="4"/>
      <c r="N2472" s="4"/>
      <c r="O2472" s="4"/>
    </row>
    <row r="2473" spans="1:15" x14ac:dyDescent="0.3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</row>
    <row r="2474" spans="1:15" x14ac:dyDescent="0.3">
      <c r="A2474" s="4" t="s">
        <v>1281</v>
      </c>
      <c r="B2474" s="4" t="s">
        <v>49</v>
      </c>
      <c r="C2474" s="4" t="s">
        <v>12</v>
      </c>
      <c r="D2474" s="4">
        <v>26397894</v>
      </c>
      <c r="E2474" s="4">
        <v>12</v>
      </c>
      <c r="F2474" s="4" t="s">
        <v>1433</v>
      </c>
      <c r="G2474" s="4">
        <v>12</v>
      </c>
      <c r="H2474" s="4">
        <v>0</v>
      </c>
      <c r="I2474" s="4">
        <v>0</v>
      </c>
      <c r="J2474" s="4"/>
      <c r="K2474" s="4"/>
      <c r="L2474" s="4"/>
      <c r="M2474" s="4"/>
      <c r="N2474" s="4"/>
      <c r="O2474" s="4"/>
    </row>
    <row r="2475" spans="1:15" x14ac:dyDescent="0.3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</row>
    <row r="2476" spans="1:15" x14ac:dyDescent="0.3">
      <c r="A2476" s="4" t="s">
        <v>1282</v>
      </c>
      <c r="B2476" s="4" t="s">
        <v>49</v>
      </c>
      <c r="C2476" s="4" t="s">
        <v>12</v>
      </c>
      <c r="D2476" s="4">
        <v>26398038</v>
      </c>
      <c r="E2476" s="4">
        <v>23</v>
      </c>
      <c r="F2476" s="4" t="s">
        <v>1433</v>
      </c>
      <c r="G2476" s="4">
        <v>23</v>
      </c>
      <c r="H2476" s="4">
        <v>0</v>
      </c>
      <c r="I2476" s="4">
        <v>0</v>
      </c>
      <c r="J2476" s="4"/>
      <c r="K2476" s="4"/>
      <c r="L2476" s="4"/>
      <c r="M2476" s="4"/>
      <c r="N2476" s="4"/>
      <c r="O2476" s="4"/>
    </row>
    <row r="2477" spans="1:15" x14ac:dyDescent="0.3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</row>
    <row r="2478" spans="1:15" x14ac:dyDescent="0.3">
      <c r="A2478" s="4" t="s">
        <v>1283</v>
      </c>
      <c r="B2478" s="4" t="s">
        <v>49</v>
      </c>
      <c r="C2478" s="4" t="s">
        <v>12</v>
      </c>
      <c r="D2478" s="4">
        <v>26398656</v>
      </c>
      <c r="E2478" s="4">
        <v>77</v>
      </c>
      <c r="F2478" s="4" t="s">
        <v>1433</v>
      </c>
      <c r="G2478" s="4">
        <v>77</v>
      </c>
      <c r="H2478" s="4">
        <v>0</v>
      </c>
      <c r="I2478" s="4">
        <v>0</v>
      </c>
      <c r="J2478" s="4"/>
      <c r="K2478" s="4"/>
      <c r="L2478" s="4"/>
      <c r="M2478" s="4"/>
      <c r="N2478" s="4"/>
      <c r="O2478" s="4"/>
    </row>
    <row r="2479" spans="1:15" x14ac:dyDescent="0.3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</row>
    <row r="2480" spans="1:15" x14ac:dyDescent="0.3">
      <c r="A2480" s="4" t="s">
        <v>1284</v>
      </c>
      <c r="B2480" s="4" t="s">
        <v>49</v>
      </c>
      <c r="C2480" s="4" t="s">
        <v>12</v>
      </c>
      <c r="D2480" s="4">
        <v>26398662</v>
      </c>
      <c r="E2480" s="4">
        <v>16</v>
      </c>
      <c r="F2480" s="4" t="s">
        <v>1433</v>
      </c>
      <c r="G2480" s="4">
        <v>16</v>
      </c>
      <c r="H2480" s="4">
        <v>0</v>
      </c>
      <c r="I2480" s="4">
        <v>0</v>
      </c>
      <c r="J2480" s="4"/>
      <c r="K2480" s="4"/>
      <c r="L2480" s="4"/>
      <c r="M2480" s="4"/>
      <c r="N2480" s="4"/>
      <c r="O2480" s="4"/>
    </row>
    <row r="2481" spans="1:15" x14ac:dyDescent="0.3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</row>
    <row r="2482" spans="1:15" x14ac:dyDescent="0.3">
      <c r="A2482" s="4" t="s">
        <v>1285</v>
      </c>
      <c r="B2482" s="4" t="s">
        <v>49</v>
      </c>
      <c r="C2482" s="4" t="s">
        <v>12</v>
      </c>
      <c r="D2482" s="4">
        <v>26398890</v>
      </c>
      <c r="E2482" s="4">
        <v>28</v>
      </c>
      <c r="F2482" s="4" t="s">
        <v>1433</v>
      </c>
      <c r="G2482" s="4">
        <v>28</v>
      </c>
      <c r="H2482" s="4">
        <v>0</v>
      </c>
      <c r="I2482" s="4">
        <v>0</v>
      </c>
      <c r="J2482" s="4"/>
      <c r="K2482" s="4"/>
      <c r="L2482" s="4"/>
      <c r="M2482" s="4"/>
      <c r="N2482" s="4"/>
      <c r="O2482" s="4"/>
    </row>
    <row r="2483" spans="1:15" x14ac:dyDescent="0.3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</row>
    <row r="2484" spans="1:15" x14ac:dyDescent="0.3">
      <c r="A2484" s="4" t="s">
        <v>1286</v>
      </c>
      <c r="B2484" s="4" t="s">
        <v>49</v>
      </c>
      <c r="C2484" s="4" t="s">
        <v>12</v>
      </c>
      <c r="D2484" s="4">
        <v>26398980</v>
      </c>
      <c r="E2484" s="4">
        <v>10</v>
      </c>
      <c r="F2484" s="4" t="s">
        <v>1433</v>
      </c>
      <c r="G2484" s="4">
        <v>10</v>
      </c>
      <c r="H2484" s="4">
        <v>0</v>
      </c>
      <c r="I2484" s="4">
        <v>0</v>
      </c>
      <c r="J2484" s="4"/>
      <c r="K2484" s="4"/>
      <c r="L2484" s="4"/>
      <c r="M2484" s="4"/>
      <c r="N2484" s="4"/>
      <c r="O2484" s="4"/>
    </row>
    <row r="2485" spans="1:15" x14ac:dyDescent="0.3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</row>
    <row r="2486" spans="1:15" x14ac:dyDescent="0.3">
      <c r="A2486" s="4" t="s">
        <v>1287</v>
      </c>
      <c r="B2486" s="4" t="s">
        <v>49</v>
      </c>
      <c r="C2486" s="4" t="s">
        <v>12</v>
      </c>
      <c r="D2486" s="4">
        <v>26399010</v>
      </c>
      <c r="E2486" s="4">
        <v>23</v>
      </c>
      <c r="F2486" s="4" t="s">
        <v>1433</v>
      </c>
      <c r="G2486" s="4">
        <v>23</v>
      </c>
      <c r="H2486" s="4">
        <v>0</v>
      </c>
      <c r="I2486" s="4">
        <v>0</v>
      </c>
      <c r="J2486" s="4"/>
      <c r="K2486" s="4"/>
      <c r="L2486" s="4"/>
      <c r="M2486" s="4"/>
      <c r="N2486" s="4"/>
      <c r="O2486" s="4"/>
    </row>
    <row r="2487" spans="1:15" x14ac:dyDescent="0.3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</row>
    <row r="2488" spans="1:15" x14ac:dyDescent="0.3">
      <c r="A2488" s="4" t="s">
        <v>1288</v>
      </c>
      <c r="B2488" s="4" t="s">
        <v>49</v>
      </c>
      <c r="C2488" s="4" t="s">
        <v>12</v>
      </c>
      <c r="D2488" s="4">
        <v>26399052</v>
      </c>
      <c r="E2488" s="4">
        <v>21</v>
      </c>
      <c r="F2488" s="4" t="s">
        <v>1433</v>
      </c>
      <c r="G2488" s="4">
        <v>21</v>
      </c>
      <c r="H2488" s="4">
        <v>0</v>
      </c>
      <c r="I2488" s="4">
        <v>0</v>
      </c>
      <c r="J2488" s="4"/>
      <c r="K2488" s="4"/>
      <c r="L2488" s="4"/>
      <c r="M2488" s="4"/>
      <c r="N2488" s="4"/>
      <c r="O2488" s="4"/>
    </row>
    <row r="2489" spans="1:15" x14ac:dyDescent="0.3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</row>
    <row r="2490" spans="1:15" x14ac:dyDescent="0.3">
      <c r="A2490" s="4" t="s">
        <v>1289</v>
      </c>
      <c r="B2490" s="4" t="s">
        <v>49</v>
      </c>
      <c r="C2490" s="4" t="s">
        <v>12</v>
      </c>
      <c r="D2490" s="4">
        <v>26399112</v>
      </c>
      <c r="E2490" s="4">
        <v>27</v>
      </c>
      <c r="F2490" s="4" t="s">
        <v>1433</v>
      </c>
      <c r="G2490" s="4">
        <v>27</v>
      </c>
      <c r="H2490" s="4">
        <v>0</v>
      </c>
      <c r="I2490" s="4">
        <v>0</v>
      </c>
      <c r="J2490" s="4"/>
      <c r="K2490" s="4"/>
      <c r="L2490" s="4"/>
      <c r="M2490" s="4"/>
      <c r="N2490" s="4"/>
      <c r="O2490" s="4"/>
    </row>
    <row r="2491" spans="1:15" x14ac:dyDescent="0.3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</row>
    <row r="2492" spans="1:15" x14ac:dyDescent="0.3">
      <c r="A2492" s="4" t="s">
        <v>1290</v>
      </c>
      <c r="B2492" s="4" t="s">
        <v>49</v>
      </c>
      <c r="C2492" s="4" t="s">
        <v>12</v>
      </c>
      <c r="D2492" s="4">
        <v>26399130</v>
      </c>
      <c r="E2492" s="4">
        <v>22</v>
      </c>
      <c r="F2492" s="4" t="s">
        <v>1433</v>
      </c>
      <c r="G2492" s="4">
        <v>22</v>
      </c>
      <c r="H2492" s="4">
        <v>0</v>
      </c>
      <c r="I2492" s="4">
        <v>0</v>
      </c>
      <c r="J2492" s="4"/>
      <c r="K2492" s="4"/>
      <c r="L2492" s="4"/>
      <c r="M2492" s="4"/>
      <c r="N2492" s="4"/>
      <c r="O2492" s="4"/>
    </row>
    <row r="2493" spans="1:15" x14ac:dyDescent="0.3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</row>
    <row r="2494" spans="1:15" x14ac:dyDescent="0.3">
      <c r="A2494" s="4" t="s">
        <v>1291</v>
      </c>
      <c r="B2494" s="4" t="s">
        <v>49</v>
      </c>
      <c r="C2494" s="4" t="s">
        <v>12</v>
      </c>
      <c r="D2494" s="4">
        <v>26399358</v>
      </c>
      <c r="E2494" s="4">
        <v>33</v>
      </c>
      <c r="F2494" s="4" t="s">
        <v>1433</v>
      </c>
      <c r="G2494" s="4">
        <v>33</v>
      </c>
      <c r="H2494" s="4">
        <v>0</v>
      </c>
      <c r="I2494" s="4">
        <v>0</v>
      </c>
      <c r="J2494" s="4"/>
      <c r="K2494" s="4"/>
      <c r="L2494" s="4"/>
      <c r="M2494" s="4"/>
      <c r="N2494" s="4"/>
      <c r="O2494" s="4"/>
    </row>
    <row r="2495" spans="1:15" x14ac:dyDescent="0.3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</row>
    <row r="2496" spans="1:15" x14ac:dyDescent="0.3">
      <c r="A2496" s="4" t="s">
        <v>1292</v>
      </c>
      <c r="B2496" s="4" t="s">
        <v>49</v>
      </c>
      <c r="C2496" s="4" t="s">
        <v>12</v>
      </c>
      <c r="D2496" s="4">
        <v>26399730</v>
      </c>
      <c r="E2496" s="4">
        <v>26</v>
      </c>
      <c r="F2496" s="4" t="s">
        <v>1433</v>
      </c>
      <c r="G2496" s="4">
        <v>26</v>
      </c>
      <c r="H2496" s="4">
        <v>0</v>
      </c>
      <c r="I2496" s="4">
        <v>0</v>
      </c>
      <c r="J2496" s="4"/>
      <c r="K2496" s="4"/>
      <c r="L2496" s="4"/>
      <c r="M2496" s="4"/>
      <c r="N2496" s="4"/>
      <c r="O2496" s="4"/>
    </row>
    <row r="2497" spans="1:15" x14ac:dyDescent="0.3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</row>
    <row r="2498" spans="1:15" x14ac:dyDescent="0.3">
      <c r="A2498" s="4" t="s">
        <v>1293</v>
      </c>
      <c r="B2498" s="4" t="s">
        <v>49</v>
      </c>
      <c r="C2498" s="4" t="s">
        <v>12</v>
      </c>
      <c r="D2498" s="4">
        <v>26399772</v>
      </c>
      <c r="E2498" s="4">
        <v>12</v>
      </c>
      <c r="F2498" s="4" t="s">
        <v>1433</v>
      </c>
      <c r="G2498" s="4">
        <v>12</v>
      </c>
      <c r="H2498" s="4">
        <v>0</v>
      </c>
      <c r="I2498" s="4">
        <v>0</v>
      </c>
      <c r="J2498" s="4"/>
      <c r="K2498" s="4"/>
      <c r="L2498" s="4"/>
      <c r="M2498" s="4"/>
      <c r="N2498" s="4"/>
      <c r="O2498" s="4"/>
    </row>
    <row r="2499" spans="1:15" x14ac:dyDescent="0.3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</row>
    <row r="2500" spans="1:15" x14ac:dyDescent="0.3">
      <c r="A2500" s="4" t="s">
        <v>1294</v>
      </c>
      <c r="B2500" s="4" t="s">
        <v>49</v>
      </c>
      <c r="C2500" s="4" t="s">
        <v>12</v>
      </c>
      <c r="D2500" s="4">
        <v>26399910</v>
      </c>
      <c r="E2500" s="4">
        <v>15</v>
      </c>
      <c r="F2500" s="4" t="s">
        <v>1433</v>
      </c>
      <c r="G2500" s="4">
        <v>15</v>
      </c>
      <c r="H2500" s="4">
        <v>0</v>
      </c>
      <c r="I2500" s="4">
        <v>0</v>
      </c>
      <c r="J2500" s="4"/>
      <c r="K2500" s="4"/>
      <c r="L2500" s="4"/>
      <c r="M2500" s="4"/>
      <c r="N2500" s="4"/>
      <c r="O2500" s="4"/>
    </row>
    <row r="2501" spans="1:15" x14ac:dyDescent="0.3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</row>
    <row r="2502" spans="1:15" x14ac:dyDescent="0.3">
      <c r="A2502" s="4" t="s">
        <v>1295</v>
      </c>
      <c r="B2502" s="4" t="s">
        <v>49</v>
      </c>
      <c r="C2502" s="4" t="s">
        <v>12</v>
      </c>
      <c r="D2502" s="4">
        <v>26399916</v>
      </c>
      <c r="E2502" s="4">
        <v>48</v>
      </c>
      <c r="F2502" s="4" t="s">
        <v>1433</v>
      </c>
      <c r="G2502" s="4">
        <v>48</v>
      </c>
      <c r="H2502" s="4">
        <v>0</v>
      </c>
      <c r="I2502" s="4">
        <v>0</v>
      </c>
      <c r="J2502" s="4"/>
      <c r="K2502" s="4"/>
      <c r="L2502" s="4"/>
      <c r="M2502" s="4"/>
      <c r="N2502" s="4"/>
      <c r="O2502" s="4"/>
    </row>
    <row r="2503" spans="1:15" x14ac:dyDescent="0.3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</row>
    <row r="2504" spans="1:15" x14ac:dyDescent="0.3">
      <c r="A2504" s="4" t="s">
        <v>1296</v>
      </c>
      <c r="B2504" s="4" t="s">
        <v>49</v>
      </c>
      <c r="C2504" s="4" t="s">
        <v>12</v>
      </c>
      <c r="D2504" s="4">
        <v>26399940</v>
      </c>
      <c r="E2504" s="4">
        <v>14</v>
      </c>
      <c r="F2504" s="4" t="s">
        <v>1433</v>
      </c>
      <c r="G2504" s="4">
        <v>14</v>
      </c>
      <c r="H2504" s="4">
        <v>0</v>
      </c>
      <c r="I2504" s="4">
        <v>0</v>
      </c>
      <c r="J2504" s="4"/>
      <c r="K2504" s="4"/>
      <c r="L2504" s="4"/>
      <c r="M2504" s="4"/>
      <c r="N2504" s="4"/>
      <c r="O2504" s="4"/>
    </row>
    <row r="2505" spans="1:15" x14ac:dyDescent="0.3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</row>
    <row r="2506" spans="1:15" x14ac:dyDescent="0.3">
      <c r="A2506" s="4" t="s">
        <v>1297</v>
      </c>
      <c r="B2506" s="4" t="s">
        <v>49</v>
      </c>
      <c r="C2506" s="4" t="s">
        <v>12</v>
      </c>
      <c r="D2506" s="4">
        <v>26793336</v>
      </c>
      <c r="E2506" s="4">
        <v>60</v>
      </c>
      <c r="F2506" s="4" t="s">
        <v>1433</v>
      </c>
      <c r="G2506" s="4">
        <v>60</v>
      </c>
      <c r="H2506" s="4">
        <v>0</v>
      </c>
      <c r="I2506" s="4">
        <v>0</v>
      </c>
      <c r="J2506" s="4"/>
      <c r="K2506" s="4"/>
      <c r="L2506" s="4"/>
      <c r="M2506" s="4"/>
      <c r="N2506" s="4"/>
      <c r="O2506" s="4"/>
    </row>
    <row r="2507" spans="1:15" x14ac:dyDescent="0.3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</row>
    <row r="2508" spans="1:15" x14ac:dyDescent="0.3">
      <c r="A2508" s="4" t="s">
        <v>1298</v>
      </c>
      <c r="B2508" s="4" t="s">
        <v>49</v>
      </c>
      <c r="C2508" s="4" t="s">
        <v>12</v>
      </c>
      <c r="D2508" s="4">
        <v>26793504</v>
      </c>
      <c r="E2508" s="4">
        <v>136</v>
      </c>
      <c r="F2508" s="4" t="s">
        <v>1433</v>
      </c>
      <c r="G2508" s="4">
        <v>136</v>
      </c>
      <c r="H2508" s="4">
        <v>0</v>
      </c>
      <c r="I2508" s="4">
        <v>0</v>
      </c>
      <c r="J2508" s="4"/>
      <c r="K2508" s="4"/>
      <c r="L2508" s="4"/>
      <c r="M2508" s="4"/>
      <c r="N2508" s="4"/>
      <c r="O2508" s="4"/>
    </row>
    <row r="2509" spans="1:15" x14ac:dyDescent="0.3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</row>
    <row r="2510" spans="1:15" x14ac:dyDescent="0.3">
      <c r="A2510" s="4" t="s">
        <v>1299</v>
      </c>
      <c r="B2510" s="4" t="s">
        <v>47</v>
      </c>
      <c r="C2510" s="4" t="s">
        <v>12</v>
      </c>
      <c r="D2510" s="4">
        <v>26795646</v>
      </c>
      <c r="E2510" s="4">
        <v>892</v>
      </c>
      <c r="F2510" s="4" t="s">
        <v>1433</v>
      </c>
      <c r="G2510" s="4">
        <v>892</v>
      </c>
      <c r="H2510" s="4">
        <v>0</v>
      </c>
      <c r="I2510" s="4">
        <v>0</v>
      </c>
      <c r="J2510" s="4"/>
      <c r="K2510" s="4"/>
      <c r="L2510" s="4"/>
      <c r="M2510" s="4"/>
      <c r="N2510" s="4"/>
      <c r="O2510" s="4"/>
    </row>
    <row r="2511" spans="1:15" x14ac:dyDescent="0.3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</row>
    <row r="2512" spans="1:15" x14ac:dyDescent="0.3">
      <c r="A2512" s="4" t="s">
        <v>1300</v>
      </c>
      <c r="B2512" s="4" t="s">
        <v>49</v>
      </c>
      <c r="C2512" s="4" t="s">
        <v>12</v>
      </c>
      <c r="D2512" s="4">
        <v>26797854</v>
      </c>
      <c r="E2512" s="4">
        <v>108</v>
      </c>
      <c r="F2512" s="4" t="s">
        <v>1433</v>
      </c>
      <c r="G2512" s="4">
        <v>108</v>
      </c>
      <c r="H2512" s="4">
        <v>0</v>
      </c>
      <c r="I2512" s="4">
        <v>0</v>
      </c>
      <c r="J2512" s="4"/>
      <c r="K2512" s="4"/>
      <c r="L2512" s="4"/>
      <c r="M2512" s="4"/>
      <c r="N2512" s="4"/>
      <c r="O2512" s="4"/>
    </row>
    <row r="2513" spans="1:15" x14ac:dyDescent="0.3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</row>
    <row r="2514" spans="1:15" x14ac:dyDescent="0.3">
      <c r="A2514" s="4" t="s">
        <v>1301</v>
      </c>
      <c r="B2514" s="4" t="s">
        <v>49</v>
      </c>
      <c r="C2514" s="4" t="s">
        <v>12</v>
      </c>
      <c r="D2514" s="4">
        <v>26801172</v>
      </c>
      <c r="E2514" s="4">
        <v>344</v>
      </c>
      <c r="F2514" s="4" t="s">
        <v>1433</v>
      </c>
      <c r="G2514" s="4">
        <v>344</v>
      </c>
      <c r="H2514" s="4">
        <v>0</v>
      </c>
      <c r="I2514" s="4">
        <v>0</v>
      </c>
      <c r="J2514" s="4"/>
      <c r="K2514" s="4"/>
      <c r="L2514" s="4"/>
      <c r="M2514" s="4"/>
      <c r="N2514" s="4"/>
      <c r="O2514" s="4"/>
    </row>
    <row r="2515" spans="1:15" x14ac:dyDescent="0.3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</row>
    <row r="2516" spans="1:15" x14ac:dyDescent="0.3">
      <c r="A2516" s="4" t="s">
        <v>1302</v>
      </c>
      <c r="B2516" s="4" t="s">
        <v>49</v>
      </c>
      <c r="C2516" s="4" t="s">
        <v>12</v>
      </c>
      <c r="D2516" s="4">
        <v>26801178</v>
      </c>
      <c r="E2516" s="4">
        <v>344</v>
      </c>
      <c r="F2516" s="4" t="s">
        <v>1433</v>
      </c>
      <c r="G2516" s="4">
        <v>344</v>
      </c>
      <c r="H2516" s="4">
        <v>0</v>
      </c>
      <c r="I2516" s="4">
        <v>0</v>
      </c>
      <c r="J2516" s="4"/>
      <c r="K2516" s="4"/>
      <c r="L2516" s="4"/>
      <c r="M2516" s="4"/>
      <c r="N2516" s="4"/>
      <c r="O2516" s="4"/>
    </row>
    <row r="2517" spans="1:15" x14ac:dyDescent="0.3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</row>
    <row r="2518" spans="1:15" x14ac:dyDescent="0.3">
      <c r="A2518" s="4" t="s">
        <v>1303</v>
      </c>
      <c r="B2518" s="4" t="s">
        <v>49</v>
      </c>
      <c r="C2518" s="4" t="s">
        <v>12</v>
      </c>
      <c r="D2518" s="4">
        <v>26806836</v>
      </c>
      <c r="E2518" s="4">
        <v>224</v>
      </c>
      <c r="F2518" s="4" t="s">
        <v>1433</v>
      </c>
      <c r="G2518" s="4">
        <v>224</v>
      </c>
      <c r="H2518" s="4">
        <v>0</v>
      </c>
      <c r="I2518" s="4">
        <v>0</v>
      </c>
      <c r="J2518" s="4"/>
      <c r="K2518" s="4"/>
      <c r="L2518" s="4"/>
      <c r="M2518" s="4"/>
      <c r="N2518" s="4"/>
      <c r="O2518" s="4"/>
    </row>
    <row r="2519" spans="1:15" x14ac:dyDescent="0.3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</row>
    <row r="2520" spans="1:15" x14ac:dyDescent="0.3">
      <c r="A2520" s="4" t="s">
        <v>1304</v>
      </c>
      <c r="B2520" s="4" t="s">
        <v>49</v>
      </c>
      <c r="C2520" s="4" t="s">
        <v>12</v>
      </c>
      <c r="D2520" s="4">
        <v>26808378</v>
      </c>
      <c r="E2520" s="4">
        <v>233</v>
      </c>
      <c r="F2520" s="4" t="s">
        <v>1433</v>
      </c>
      <c r="G2520" s="4">
        <v>233</v>
      </c>
      <c r="H2520" s="4">
        <v>0</v>
      </c>
      <c r="I2520" s="4">
        <v>0</v>
      </c>
      <c r="J2520" s="4"/>
      <c r="K2520" s="4"/>
      <c r="L2520" s="4"/>
      <c r="M2520" s="4"/>
      <c r="N2520" s="4"/>
      <c r="O2520" s="4"/>
    </row>
    <row r="2521" spans="1:15" x14ac:dyDescent="0.3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</row>
    <row r="2522" spans="1:15" x14ac:dyDescent="0.3">
      <c r="A2522" s="4" t="s">
        <v>1305</v>
      </c>
      <c r="B2522" s="4" t="s">
        <v>47</v>
      </c>
      <c r="C2522" s="4" t="s">
        <v>12</v>
      </c>
      <c r="D2522" s="4">
        <v>26809644</v>
      </c>
      <c r="E2522" s="4">
        <v>9481</v>
      </c>
      <c r="F2522" s="4" t="s">
        <v>1433</v>
      </c>
      <c r="G2522" s="4">
        <v>9481</v>
      </c>
      <c r="H2522" s="4">
        <v>0</v>
      </c>
      <c r="I2522" s="4">
        <v>0</v>
      </c>
      <c r="J2522" s="4"/>
      <c r="K2522" s="4"/>
      <c r="L2522" s="4"/>
      <c r="M2522" s="4"/>
      <c r="N2522" s="4"/>
      <c r="O2522" s="4"/>
    </row>
    <row r="2523" spans="1:15" x14ac:dyDescent="0.3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</row>
    <row r="2524" spans="1:15" x14ac:dyDescent="0.3">
      <c r="A2524" s="4" t="s">
        <v>1306</v>
      </c>
      <c r="B2524" s="4" t="s">
        <v>49</v>
      </c>
      <c r="C2524" s="4" t="s">
        <v>12</v>
      </c>
      <c r="D2524" s="4">
        <v>26810640</v>
      </c>
      <c r="E2524" s="4">
        <v>829</v>
      </c>
      <c r="F2524" s="4" t="s">
        <v>1433</v>
      </c>
      <c r="G2524" s="4">
        <v>829</v>
      </c>
      <c r="H2524" s="4">
        <v>0</v>
      </c>
      <c r="I2524" s="4">
        <v>0</v>
      </c>
      <c r="J2524" s="4"/>
      <c r="K2524" s="4"/>
      <c r="L2524" s="4"/>
      <c r="M2524" s="4"/>
      <c r="N2524" s="4"/>
      <c r="O2524" s="4"/>
    </row>
    <row r="2525" spans="1:15" x14ac:dyDescent="0.3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</row>
    <row r="2526" spans="1:15" x14ac:dyDescent="0.3">
      <c r="A2526" s="4" t="s">
        <v>1307</v>
      </c>
      <c r="B2526" s="4" t="s">
        <v>49</v>
      </c>
      <c r="C2526" s="4" t="s">
        <v>12</v>
      </c>
      <c r="D2526" s="4">
        <v>26810964</v>
      </c>
      <c r="E2526" s="4">
        <v>43</v>
      </c>
      <c r="F2526" s="4" t="s">
        <v>1433</v>
      </c>
      <c r="G2526" s="4">
        <v>43</v>
      </c>
      <c r="H2526" s="4">
        <v>0</v>
      </c>
      <c r="I2526" s="4">
        <v>0</v>
      </c>
      <c r="J2526" s="4"/>
      <c r="K2526" s="4"/>
      <c r="L2526" s="4"/>
      <c r="M2526" s="4"/>
      <c r="N2526" s="4"/>
      <c r="O2526" s="4"/>
    </row>
    <row r="2527" spans="1:15" x14ac:dyDescent="0.3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</row>
    <row r="2528" spans="1:15" x14ac:dyDescent="0.3">
      <c r="A2528" s="4" t="s">
        <v>1308</v>
      </c>
      <c r="B2528" s="4" t="s">
        <v>49</v>
      </c>
      <c r="C2528" s="4" t="s">
        <v>12</v>
      </c>
      <c r="D2528" s="4">
        <v>26812626</v>
      </c>
      <c r="E2528" s="4">
        <v>211</v>
      </c>
      <c r="F2528" s="4" t="s">
        <v>1433</v>
      </c>
      <c r="G2528" s="4">
        <v>211</v>
      </c>
      <c r="H2528" s="4">
        <v>0</v>
      </c>
      <c r="I2528" s="4">
        <v>0</v>
      </c>
      <c r="J2528" s="4"/>
      <c r="K2528" s="4"/>
      <c r="L2528" s="4"/>
      <c r="M2528" s="4"/>
      <c r="N2528" s="4"/>
      <c r="O2528" s="4"/>
    </row>
    <row r="2529" spans="1:15" x14ac:dyDescent="0.3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</row>
    <row r="2530" spans="1:15" x14ac:dyDescent="0.3">
      <c r="A2530" s="4" t="s">
        <v>1309</v>
      </c>
      <c r="B2530" s="4" t="s">
        <v>49</v>
      </c>
      <c r="C2530" s="4" t="s">
        <v>12</v>
      </c>
      <c r="D2530" s="4">
        <v>26815488</v>
      </c>
      <c r="E2530" s="4">
        <v>5</v>
      </c>
      <c r="F2530" s="4" t="s">
        <v>1433</v>
      </c>
      <c r="G2530" s="4">
        <v>5</v>
      </c>
      <c r="H2530" s="4">
        <v>0</v>
      </c>
      <c r="I2530" s="4">
        <v>0</v>
      </c>
      <c r="J2530" s="4"/>
      <c r="K2530" s="4"/>
      <c r="L2530" s="4"/>
      <c r="M2530" s="4"/>
      <c r="N2530" s="4"/>
      <c r="O2530" s="4"/>
    </row>
    <row r="2531" spans="1:15" x14ac:dyDescent="0.3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</row>
    <row r="2532" spans="1:15" x14ac:dyDescent="0.3">
      <c r="A2532" s="4" t="s">
        <v>1310</v>
      </c>
      <c r="B2532" s="4" t="s">
        <v>49</v>
      </c>
      <c r="C2532" s="4" t="s">
        <v>12</v>
      </c>
      <c r="D2532" s="4">
        <v>26816004</v>
      </c>
      <c r="E2532" s="4">
        <v>436</v>
      </c>
      <c r="F2532" s="4" t="s">
        <v>1433</v>
      </c>
      <c r="G2532" s="4">
        <v>436</v>
      </c>
      <c r="H2532" s="4">
        <v>0</v>
      </c>
      <c r="I2532" s="4">
        <v>0</v>
      </c>
      <c r="J2532" s="4"/>
      <c r="K2532" s="4"/>
      <c r="L2532" s="4"/>
      <c r="M2532" s="4"/>
      <c r="N2532" s="4"/>
      <c r="O2532" s="4"/>
    </row>
    <row r="2533" spans="1:15" x14ac:dyDescent="0.3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</row>
    <row r="2534" spans="1:15" x14ac:dyDescent="0.3">
      <c r="A2534" s="4" t="s">
        <v>1311</v>
      </c>
      <c r="B2534" s="4" t="s">
        <v>49</v>
      </c>
      <c r="C2534" s="4" t="s">
        <v>12</v>
      </c>
      <c r="D2534" s="4">
        <v>26816046</v>
      </c>
      <c r="E2534" s="4">
        <v>2145</v>
      </c>
      <c r="F2534" s="4" t="s">
        <v>1433</v>
      </c>
      <c r="G2534" s="4">
        <v>2145</v>
      </c>
      <c r="H2534" s="4">
        <v>0</v>
      </c>
      <c r="I2534" s="4">
        <v>0</v>
      </c>
      <c r="J2534" s="4"/>
      <c r="K2534" s="4"/>
      <c r="L2534" s="4"/>
      <c r="M2534" s="4"/>
      <c r="N2534" s="4"/>
      <c r="O2534" s="4"/>
    </row>
    <row r="2535" spans="1:15" x14ac:dyDescent="0.3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</row>
    <row r="2536" spans="1:15" x14ac:dyDescent="0.3">
      <c r="A2536" s="4" t="s">
        <v>1312</v>
      </c>
      <c r="B2536" s="4" t="s">
        <v>49</v>
      </c>
      <c r="C2536" s="4" t="s">
        <v>12</v>
      </c>
      <c r="D2536" s="4">
        <v>26816160</v>
      </c>
      <c r="E2536" s="4">
        <v>142</v>
      </c>
      <c r="F2536" s="4" t="s">
        <v>1433</v>
      </c>
      <c r="G2536" s="4">
        <v>142</v>
      </c>
      <c r="H2536" s="4">
        <v>0</v>
      </c>
      <c r="I2536" s="4">
        <v>0</v>
      </c>
      <c r="J2536" s="4"/>
      <c r="K2536" s="4"/>
      <c r="L2536" s="4"/>
      <c r="M2536" s="4"/>
      <c r="N2536" s="4"/>
      <c r="O2536" s="4"/>
    </row>
    <row r="2537" spans="1:15" x14ac:dyDescent="0.3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</row>
    <row r="2538" spans="1:15" x14ac:dyDescent="0.3">
      <c r="A2538" s="4" t="s">
        <v>1313</v>
      </c>
      <c r="B2538" s="4" t="s">
        <v>49</v>
      </c>
      <c r="C2538" s="4" t="s">
        <v>12</v>
      </c>
      <c r="D2538" s="4">
        <v>26817288</v>
      </c>
      <c r="E2538" s="4">
        <v>26</v>
      </c>
      <c r="F2538" s="4" t="s">
        <v>1433</v>
      </c>
      <c r="G2538" s="4">
        <v>26</v>
      </c>
      <c r="H2538" s="4">
        <v>0</v>
      </c>
      <c r="I2538" s="4">
        <v>0</v>
      </c>
      <c r="J2538" s="4"/>
      <c r="K2538" s="4"/>
      <c r="L2538" s="4"/>
      <c r="M2538" s="4"/>
      <c r="N2538" s="4"/>
      <c r="O2538" s="4"/>
    </row>
    <row r="2539" spans="1:15" x14ac:dyDescent="0.3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</row>
    <row r="2540" spans="1:15" x14ac:dyDescent="0.3">
      <c r="A2540" s="4" t="s">
        <v>1314</v>
      </c>
      <c r="B2540" s="4" t="s">
        <v>49</v>
      </c>
      <c r="C2540" s="4" t="s">
        <v>12</v>
      </c>
      <c r="D2540" s="4">
        <v>26817366</v>
      </c>
      <c r="E2540" s="4">
        <v>21</v>
      </c>
      <c r="F2540" s="4" t="s">
        <v>1433</v>
      </c>
      <c r="G2540" s="4">
        <v>21</v>
      </c>
      <c r="H2540" s="4">
        <v>0</v>
      </c>
      <c r="I2540" s="4">
        <v>0</v>
      </c>
      <c r="J2540" s="4"/>
      <c r="K2540" s="4"/>
      <c r="L2540" s="4"/>
      <c r="M2540" s="4"/>
      <c r="N2540" s="4"/>
      <c r="O2540" s="4"/>
    </row>
    <row r="2541" spans="1:15" x14ac:dyDescent="0.3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</row>
    <row r="2542" spans="1:15" x14ac:dyDescent="0.3">
      <c r="A2542" s="4" t="s">
        <v>1315</v>
      </c>
      <c r="B2542" s="4" t="s">
        <v>49</v>
      </c>
      <c r="C2542" s="4" t="s">
        <v>12</v>
      </c>
      <c r="D2542" s="4">
        <v>26817378</v>
      </c>
      <c r="E2542" s="4">
        <v>14</v>
      </c>
      <c r="F2542" s="4" t="s">
        <v>1433</v>
      </c>
      <c r="G2542" s="4">
        <v>14</v>
      </c>
      <c r="H2542" s="4">
        <v>0</v>
      </c>
      <c r="I2542" s="4">
        <v>0</v>
      </c>
      <c r="J2542" s="4"/>
      <c r="K2542" s="4"/>
      <c r="L2542" s="4"/>
      <c r="M2542" s="4"/>
      <c r="N2542" s="4"/>
      <c r="O2542" s="4"/>
    </row>
    <row r="2543" spans="1:15" x14ac:dyDescent="0.3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</row>
    <row r="2544" spans="1:15" x14ac:dyDescent="0.3">
      <c r="A2544" s="4" t="s">
        <v>1316</v>
      </c>
      <c r="B2544" s="4" t="s">
        <v>49</v>
      </c>
      <c r="C2544" s="4" t="s">
        <v>12</v>
      </c>
      <c r="D2544" s="4">
        <v>26818608</v>
      </c>
      <c r="E2544" s="4">
        <v>15</v>
      </c>
      <c r="F2544" s="4" t="s">
        <v>1433</v>
      </c>
      <c r="G2544" s="4">
        <v>15</v>
      </c>
      <c r="H2544" s="4">
        <v>0</v>
      </c>
      <c r="I2544" s="4">
        <v>0</v>
      </c>
      <c r="J2544" s="4"/>
      <c r="K2544" s="4"/>
      <c r="L2544" s="4"/>
      <c r="M2544" s="4"/>
      <c r="N2544" s="4"/>
      <c r="O2544" s="4"/>
    </row>
    <row r="2545" spans="1:15" x14ac:dyDescent="0.3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</row>
    <row r="2546" spans="1:15" x14ac:dyDescent="0.3">
      <c r="A2546" s="4" t="s">
        <v>1317</v>
      </c>
      <c r="B2546" s="4" t="s">
        <v>49</v>
      </c>
      <c r="C2546" s="4" t="s">
        <v>12</v>
      </c>
      <c r="D2546" s="4">
        <v>26818950</v>
      </c>
      <c r="E2546" s="4">
        <v>8</v>
      </c>
      <c r="F2546" s="4" t="s">
        <v>1433</v>
      </c>
      <c r="G2546" s="4">
        <v>8</v>
      </c>
      <c r="H2546" s="4">
        <v>0</v>
      </c>
      <c r="I2546" s="4">
        <v>0</v>
      </c>
      <c r="J2546" s="4"/>
      <c r="K2546" s="4"/>
      <c r="L2546" s="4"/>
      <c r="M2546" s="4"/>
      <c r="N2546" s="4"/>
      <c r="O2546" s="4"/>
    </row>
    <row r="2547" spans="1:15" x14ac:dyDescent="0.3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</row>
    <row r="2548" spans="1:15" x14ac:dyDescent="0.3">
      <c r="A2548" s="4" t="s">
        <v>1318</v>
      </c>
      <c r="B2548" s="4" t="s">
        <v>49</v>
      </c>
      <c r="C2548" s="4" t="s">
        <v>12</v>
      </c>
      <c r="D2548" s="4">
        <v>26818956</v>
      </c>
      <c r="E2548" s="4">
        <v>64</v>
      </c>
      <c r="F2548" s="4" t="s">
        <v>1433</v>
      </c>
      <c r="G2548" s="4">
        <v>64</v>
      </c>
      <c r="H2548" s="4">
        <v>0</v>
      </c>
      <c r="I2548" s="4">
        <v>0</v>
      </c>
      <c r="J2548" s="4"/>
      <c r="K2548" s="4"/>
      <c r="L2548" s="4"/>
      <c r="M2548" s="4"/>
      <c r="N2548" s="4"/>
      <c r="O2548" s="4"/>
    </row>
    <row r="2549" spans="1:15" x14ac:dyDescent="0.3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</row>
    <row r="2550" spans="1:15" x14ac:dyDescent="0.3">
      <c r="A2550" s="4" t="s">
        <v>1319</v>
      </c>
      <c r="B2550" s="4" t="s">
        <v>49</v>
      </c>
      <c r="C2550" s="4" t="s">
        <v>12</v>
      </c>
      <c r="D2550" s="4">
        <v>26819106</v>
      </c>
      <c r="E2550" s="4">
        <v>435</v>
      </c>
      <c r="F2550" s="4" t="s">
        <v>1433</v>
      </c>
      <c r="G2550" s="4">
        <v>435</v>
      </c>
      <c r="H2550" s="4">
        <v>0</v>
      </c>
      <c r="I2550" s="4">
        <v>0</v>
      </c>
      <c r="J2550" s="4"/>
      <c r="K2550" s="4"/>
      <c r="L2550" s="4"/>
      <c r="M2550" s="4"/>
      <c r="N2550" s="4"/>
      <c r="O2550" s="4"/>
    </row>
    <row r="2551" spans="1:15" x14ac:dyDescent="0.3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</row>
    <row r="2552" spans="1:15" x14ac:dyDescent="0.3">
      <c r="A2552" s="4" t="s">
        <v>1320</v>
      </c>
      <c r="B2552" s="4" t="s">
        <v>49</v>
      </c>
      <c r="C2552" s="4" t="s">
        <v>12</v>
      </c>
      <c r="D2552" s="4">
        <v>26819838</v>
      </c>
      <c r="E2552" s="4">
        <v>399</v>
      </c>
      <c r="F2552" s="4" t="s">
        <v>1433</v>
      </c>
      <c r="G2552" s="4">
        <v>399</v>
      </c>
      <c r="H2552" s="4">
        <v>0</v>
      </c>
      <c r="I2552" s="4">
        <v>0</v>
      </c>
      <c r="J2552" s="4"/>
      <c r="K2552" s="4"/>
      <c r="L2552" s="4"/>
      <c r="M2552" s="4"/>
      <c r="N2552" s="4"/>
      <c r="O2552" s="4"/>
    </row>
    <row r="2553" spans="1:15" x14ac:dyDescent="0.3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</row>
    <row r="2554" spans="1:15" x14ac:dyDescent="0.3">
      <c r="A2554" s="4" t="s">
        <v>1321</v>
      </c>
      <c r="B2554" s="4" t="s">
        <v>47</v>
      </c>
      <c r="C2554" s="4" t="s">
        <v>12</v>
      </c>
      <c r="D2554" s="4">
        <v>26820684</v>
      </c>
      <c r="E2554" s="4">
        <v>3712</v>
      </c>
      <c r="F2554" s="4" t="s">
        <v>1433</v>
      </c>
      <c r="G2554" s="4">
        <v>3712</v>
      </c>
      <c r="H2554" s="4">
        <v>0</v>
      </c>
      <c r="I2554" s="4">
        <v>0</v>
      </c>
      <c r="J2554" s="4"/>
      <c r="K2554" s="4"/>
      <c r="L2554" s="4"/>
      <c r="M2554" s="4"/>
      <c r="N2554" s="4"/>
      <c r="O2554" s="4"/>
    </row>
    <row r="2555" spans="1:15" x14ac:dyDescent="0.3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</row>
    <row r="2556" spans="1:15" x14ac:dyDescent="0.3">
      <c r="A2556" s="4" t="s">
        <v>1322</v>
      </c>
      <c r="B2556" s="4" t="s">
        <v>49</v>
      </c>
      <c r="C2556" s="4" t="s">
        <v>12</v>
      </c>
      <c r="D2556" s="4">
        <v>26821152</v>
      </c>
      <c r="E2556" s="4">
        <v>290</v>
      </c>
      <c r="F2556" s="4" t="s">
        <v>1433</v>
      </c>
      <c r="G2556" s="4">
        <v>290</v>
      </c>
      <c r="H2556" s="4">
        <v>0</v>
      </c>
      <c r="I2556" s="4">
        <v>0</v>
      </c>
      <c r="J2556" s="4"/>
      <c r="K2556" s="4"/>
      <c r="L2556" s="4"/>
      <c r="M2556" s="4"/>
      <c r="N2556" s="4"/>
      <c r="O2556" s="4"/>
    </row>
    <row r="2557" spans="1:15" x14ac:dyDescent="0.3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</row>
    <row r="2558" spans="1:15" x14ac:dyDescent="0.3">
      <c r="A2558" s="4" t="s">
        <v>1323</v>
      </c>
      <c r="B2558" s="4" t="s">
        <v>49</v>
      </c>
      <c r="C2558" s="4" t="s">
        <v>12</v>
      </c>
      <c r="D2558" s="4">
        <v>26822046</v>
      </c>
      <c r="E2558" s="4">
        <v>501</v>
      </c>
      <c r="F2558" s="4" t="s">
        <v>1433</v>
      </c>
      <c r="G2558" s="4">
        <v>501</v>
      </c>
      <c r="H2558" s="4">
        <v>0</v>
      </c>
      <c r="I2558" s="4">
        <v>0</v>
      </c>
      <c r="J2558" s="4"/>
      <c r="K2558" s="4"/>
      <c r="L2558" s="4"/>
      <c r="M2558" s="4"/>
      <c r="N2558" s="4"/>
      <c r="O2558" s="4"/>
    </row>
    <row r="2559" spans="1:15" x14ac:dyDescent="0.3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</row>
    <row r="2560" spans="1:15" x14ac:dyDescent="0.3">
      <c r="A2560" s="4" t="s">
        <v>1324</v>
      </c>
      <c r="B2560" s="4" t="s">
        <v>49</v>
      </c>
      <c r="C2560" s="4" t="s">
        <v>12</v>
      </c>
      <c r="D2560" s="4">
        <v>26824380</v>
      </c>
      <c r="E2560" s="4">
        <v>37</v>
      </c>
      <c r="F2560" s="4" t="s">
        <v>1433</v>
      </c>
      <c r="G2560" s="4">
        <v>37</v>
      </c>
      <c r="H2560" s="4">
        <v>0</v>
      </c>
      <c r="I2560" s="4">
        <v>0</v>
      </c>
      <c r="J2560" s="4"/>
      <c r="K2560" s="4"/>
      <c r="L2560" s="4"/>
      <c r="M2560" s="4"/>
      <c r="N2560" s="4"/>
      <c r="O2560" s="4"/>
    </row>
    <row r="2561" spans="1:15" x14ac:dyDescent="0.3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</row>
    <row r="2562" spans="1:15" x14ac:dyDescent="0.3">
      <c r="A2562" s="4" t="s">
        <v>1325</v>
      </c>
      <c r="B2562" s="4" t="s">
        <v>49</v>
      </c>
      <c r="C2562" s="4" t="s">
        <v>12</v>
      </c>
      <c r="D2562" s="4">
        <v>26824410</v>
      </c>
      <c r="E2562" s="4">
        <v>52</v>
      </c>
      <c r="F2562" s="4" t="s">
        <v>1433</v>
      </c>
      <c r="G2562" s="4">
        <v>52</v>
      </c>
      <c r="H2562" s="4">
        <v>0</v>
      </c>
      <c r="I2562" s="4">
        <v>0</v>
      </c>
      <c r="J2562" s="4"/>
      <c r="K2562" s="4"/>
      <c r="L2562" s="4"/>
      <c r="M2562" s="4"/>
      <c r="N2562" s="4"/>
      <c r="O2562" s="4"/>
    </row>
    <row r="2563" spans="1:15" x14ac:dyDescent="0.3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</row>
    <row r="2564" spans="1:15" x14ac:dyDescent="0.3">
      <c r="A2564" s="4" t="s">
        <v>1326</v>
      </c>
      <c r="B2564" s="4" t="s">
        <v>49</v>
      </c>
      <c r="C2564" s="4" t="s">
        <v>12</v>
      </c>
      <c r="D2564" s="4">
        <v>26825448</v>
      </c>
      <c r="E2564" s="4">
        <v>52</v>
      </c>
      <c r="F2564" s="4" t="s">
        <v>1433</v>
      </c>
      <c r="G2564" s="4">
        <v>52</v>
      </c>
      <c r="H2564" s="4">
        <v>0</v>
      </c>
      <c r="I2564" s="4">
        <v>0</v>
      </c>
      <c r="J2564" s="4"/>
      <c r="K2564" s="4"/>
      <c r="L2564" s="4"/>
      <c r="M2564" s="4"/>
      <c r="N2564" s="4"/>
      <c r="O2564" s="4"/>
    </row>
    <row r="2565" spans="1:15" x14ac:dyDescent="0.3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</row>
    <row r="2566" spans="1:15" x14ac:dyDescent="0.3">
      <c r="A2566" s="4" t="s">
        <v>1327</v>
      </c>
      <c r="B2566" s="4" t="s">
        <v>49</v>
      </c>
      <c r="C2566" s="4" t="s">
        <v>12</v>
      </c>
      <c r="D2566" s="4">
        <v>26825760</v>
      </c>
      <c r="E2566" s="4">
        <v>95</v>
      </c>
      <c r="F2566" s="4" t="s">
        <v>1433</v>
      </c>
      <c r="G2566" s="4">
        <v>95</v>
      </c>
      <c r="H2566" s="4">
        <v>0</v>
      </c>
      <c r="I2566" s="4">
        <v>0</v>
      </c>
      <c r="J2566" s="4"/>
      <c r="K2566" s="4"/>
      <c r="L2566" s="4"/>
      <c r="M2566" s="4"/>
      <c r="N2566" s="4"/>
      <c r="O2566" s="4"/>
    </row>
    <row r="2567" spans="1:15" x14ac:dyDescent="0.3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</row>
    <row r="2568" spans="1:15" x14ac:dyDescent="0.3">
      <c r="A2568" s="4" t="s">
        <v>1328</v>
      </c>
      <c r="B2568" s="4" t="s">
        <v>49</v>
      </c>
      <c r="C2568" s="4" t="s">
        <v>12</v>
      </c>
      <c r="D2568" s="4">
        <v>26825802</v>
      </c>
      <c r="E2568" s="4">
        <v>720</v>
      </c>
      <c r="F2568" s="4" t="s">
        <v>1433</v>
      </c>
      <c r="G2568" s="4">
        <v>720</v>
      </c>
      <c r="H2568" s="4">
        <v>0</v>
      </c>
      <c r="I2568" s="4">
        <v>0</v>
      </c>
      <c r="J2568" s="4"/>
      <c r="K2568" s="4"/>
      <c r="L2568" s="4"/>
      <c r="M2568" s="4"/>
      <c r="N2568" s="4"/>
      <c r="O2568" s="4"/>
    </row>
    <row r="2569" spans="1:15" x14ac:dyDescent="0.3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</row>
    <row r="2570" spans="1:15" x14ac:dyDescent="0.3">
      <c r="A2570" s="4" t="s">
        <v>1329</v>
      </c>
      <c r="B2570" s="4" t="s">
        <v>49</v>
      </c>
      <c r="C2570" s="4" t="s">
        <v>12</v>
      </c>
      <c r="D2570" s="4">
        <v>26825838</v>
      </c>
      <c r="E2570" s="4">
        <v>22</v>
      </c>
      <c r="F2570" s="4" t="s">
        <v>1433</v>
      </c>
      <c r="G2570" s="4">
        <v>22</v>
      </c>
      <c r="H2570" s="4">
        <v>0</v>
      </c>
      <c r="I2570" s="4">
        <v>0</v>
      </c>
      <c r="J2570" s="4"/>
      <c r="K2570" s="4"/>
      <c r="L2570" s="4"/>
      <c r="M2570" s="4"/>
      <c r="N2570" s="4"/>
      <c r="O2570" s="4"/>
    </row>
    <row r="2571" spans="1:15" x14ac:dyDescent="0.3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</row>
    <row r="2572" spans="1:15" x14ac:dyDescent="0.3">
      <c r="A2572" s="4" t="s">
        <v>1330</v>
      </c>
      <c r="B2572" s="4" t="s">
        <v>49</v>
      </c>
      <c r="C2572" s="4" t="s">
        <v>12</v>
      </c>
      <c r="D2572" s="4">
        <v>26830602</v>
      </c>
      <c r="E2572" s="4">
        <v>375</v>
      </c>
      <c r="F2572" s="4" t="s">
        <v>1433</v>
      </c>
      <c r="G2572" s="4">
        <v>375</v>
      </c>
      <c r="H2572" s="4">
        <v>0</v>
      </c>
      <c r="I2572" s="4">
        <v>0</v>
      </c>
      <c r="J2572" s="4"/>
      <c r="K2572" s="4"/>
      <c r="L2572" s="4"/>
      <c r="M2572" s="4"/>
      <c r="N2572" s="4"/>
      <c r="O2572" s="4"/>
    </row>
    <row r="2573" spans="1:15" x14ac:dyDescent="0.3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</row>
    <row r="2574" spans="1:15" x14ac:dyDescent="0.3">
      <c r="A2574" s="4" t="s">
        <v>1331</v>
      </c>
      <c r="B2574" s="4" t="s">
        <v>49</v>
      </c>
      <c r="C2574" s="4" t="s">
        <v>12</v>
      </c>
      <c r="D2574" s="4">
        <v>26831388</v>
      </c>
      <c r="E2574" s="4">
        <v>265</v>
      </c>
      <c r="F2574" s="4" t="s">
        <v>1433</v>
      </c>
      <c r="G2574" s="4">
        <v>265</v>
      </c>
      <c r="H2574" s="4">
        <v>0</v>
      </c>
      <c r="I2574" s="4">
        <v>0</v>
      </c>
      <c r="J2574" s="4"/>
      <c r="K2574" s="4"/>
      <c r="L2574" s="4"/>
      <c r="M2574" s="4"/>
      <c r="N2574" s="4"/>
      <c r="O2574" s="4"/>
    </row>
    <row r="2575" spans="1:15" x14ac:dyDescent="0.3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</row>
    <row r="2576" spans="1:15" x14ac:dyDescent="0.3">
      <c r="A2576" s="4" t="s">
        <v>1332</v>
      </c>
      <c r="B2576" s="4" t="s">
        <v>47</v>
      </c>
      <c r="C2576" s="4" t="s">
        <v>12</v>
      </c>
      <c r="D2576" s="4">
        <v>26831604</v>
      </c>
      <c r="E2576" s="4">
        <v>9323</v>
      </c>
      <c r="F2576" s="4" t="s">
        <v>1433</v>
      </c>
      <c r="G2576" s="4">
        <v>9323</v>
      </c>
      <c r="H2576" s="4">
        <v>0</v>
      </c>
      <c r="I2576" s="4">
        <v>0</v>
      </c>
      <c r="J2576" s="4"/>
      <c r="K2576" s="4"/>
      <c r="L2576" s="4"/>
      <c r="M2576" s="4"/>
      <c r="N2576" s="4"/>
      <c r="O2576" s="4"/>
    </row>
    <row r="2577" spans="1:15" x14ac:dyDescent="0.3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</row>
    <row r="2578" spans="1:15" x14ac:dyDescent="0.3">
      <c r="A2578" s="4" t="s">
        <v>1333</v>
      </c>
      <c r="B2578" s="4" t="s">
        <v>49</v>
      </c>
      <c r="C2578" s="4" t="s">
        <v>12</v>
      </c>
      <c r="D2578" s="4">
        <v>26831886</v>
      </c>
      <c r="E2578" s="4">
        <v>289</v>
      </c>
      <c r="F2578" s="4" t="s">
        <v>1433</v>
      </c>
      <c r="G2578" s="4">
        <v>289</v>
      </c>
      <c r="H2578" s="4">
        <v>0</v>
      </c>
      <c r="I2578" s="4">
        <v>0</v>
      </c>
      <c r="J2578" s="4"/>
      <c r="K2578" s="4"/>
      <c r="L2578" s="4"/>
      <c r="M2578" s="4"/>
      <c r="N2578" s="4"/>
      <c r="O2578" s="4"/>
    </row>
    <row r="2579" spans="1:15" x14ac:dyDescent="0.3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</row>
    <row r="2580" spans="1:15" x14ac:dyDescent="0.3">
      <c r="A2580" s="4" t="s">
        <v>1334</v>
      </c>
      <c r="B2580" s="4" t="s">
        <v>49</v>
      </c>
      <c r="C2580" s="4" t="s">
        <v>12</v>
      </c>
      <c r="D2580" s="4">
        <v>26836116</v>
      </c>
      <c r="E2580" s="4">
        <v>186</v>
      </c>
      <c r="F2580" s="4" t="s">
        <v>1433</v>
      </c>
      <c r="G2580" s="4">
        <v>186</v>
      </c>
      <c r="H2580" s="4">
        <v>0</v>
      </c>
      <c r="I2580" s="4">
        <v>0</v>
      </c>
      <c r="J2580" s="4"/>
      <c r="K2580" s="4"/>
      <c r="L2580" s="4"/>
      <c r="M2580" s="4"/>
      <c r="N2580" s="4"/>
      <c r="O2580" s="4"/>
    </row>
    <row r="2581" spans="1:15" x14ac:dyDescent="0.3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</row>
    <row r="2582" spans="1:15" x14ac:dyDescent="0.3">
      <c r="A2582" s="4" t="s">
        <v>1335</v>
      </c>
      <c r="B2582" s="4" t="s">
        <v>49</v>
      </c>
      <c r="C2582" s="4" t="s">
        <v>12</v>
      </c>
      <c r="D2582" s="4">
        <v>26836128</v>
      </c>
      <c r="E2582" s="4">
        <v>185</v>
      </c>
      <c r="F2582" s="4" t="s">
        <v>1433</v>
      </c>
      <c r="G2582" s="4">
        <v>185</v>
      </c>
      <c r="H2582" s="4">
        <v>0</v>
      </c>
      <c r="I2582" s="4">
        <v>0</v>
      </c>
      <c r="J2582" s="4"/>
      <c r="K2582" s="4"/>
      <c r="L2582" s="4"/>
      <c r="M2582" s="4"/>
      <c r="N2582" s="4"/>
      <c r="O2582" s="4"/>
    </row>
    <row r="2583" spans="1:15" x14ac:dyDescent="0.3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</row>
    <row r="2584" spans="1:15" x14ac:dyDescent="0.3">
      <c r="A2584" s="4" t="s">
        <v>1336</v>
      </c>
      <c r="B2584" s="4" t="s">
        <v>49</v>
      </c>
      <c r="C2584" s="4" t="s">
        <v>12</v>
      </c>
      <c r="D2584" s="4">
        <v>26836824</v>
      </c>
      <c r="E2584" s="4">
        <v>75</v>
      </c>
      <c r="F2584" s="4" t="s">
        <v>1433</v>
      </c>
      <c r="G2584" s="4">
        <v>75</v>
      </c>
      <c r="H2584" s="4">
        <v>0</v>
      </c>
      <c r="I2584" s="4">
        <v>0</v>
      </c>
      <c r="J2584" s="4"/>
      <c r="K2584" s="4"/>
      <c r="L2584" s="4"/>
      <c r="M2584" s="4"/>
      <c r="N2584" s="4"/>
      <c r="O2584" s="4"/>
    </row>
    <row r="2585" spans="1:15" x14ac:dyDescent="0.3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</row>
    <row r="2586" spans="1:15" x14ac:dyDescent="0.3">
      <c r="A2586" s="4" t="s">
        <v>1337</v>
      </c>
      <c r="B2586" s="4" t="s">
        <v>49</v>
      </c>
      <c r="C2586" s="4" t="s">
        <v>12</v>
      </c>
      <c r="D2586" s="4">
        <v>26837388</v>
      </c>
      <c r="E2586" s="4">
        <v>87</v>
      </c>
      <c r="F2586" s="4" t="s">
        <v>1433</v>
      </c>
      <c r="G2586" s="4">
        <v>87</v>
      </c>
      <c r="H2586" s="4">
        <v>0</v>
      </c>
      <c r="I2586" s="4">
        <v>0</v>
      </c>
      <c r="J2586" s="4"/>
      <c r="K2586" s="4"/>
      <c r="L2586" s="4"/>
      <c r="M2586" s="4"/>
      <c r="N2586" s="4"/>
      <c r="O2586" s="4"/>
    </row>
    <row r="2587" spans="1:15" x14ac:dyDescent="0.3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</row>
    <row r="2588" spans="1:15" x14ac:dyDescent="0.3">
      <c r="A2588" s="4" t="s">
        <v>1338</v>
      </c>
      <c r="B2588" s="4" t="s">
        <v>49</v>
      </c>
      <c r="C2588" s="4" t="s">
        <v>12</v>
      </c>
      <c r="D2588" s="4">
        <v>26837772</v>
      </c>
      <c r="E2588" s="4">
        <v>1477</v>
      </c>
      <c r="F2588" s="4" t="s">
        <v>1433</v>
      </c>
      <c r="G2588" s="4">
        <v>1477</v>
      </c>
      <c r="H2588" s="4">
        <v>0</v>
      </c>
      <c r="I2588" s="4">
        <v>0</v>
      </c>
      <c r="J2588" s="4"/>
      <c r="K2588" s="4"/>
      <c r="L2588" s="4"/>
      <c r="M2588" s="4"/>
      <c r="N2588" s="4"/>
      <c r="O2588" s="4"/>
    </row>
    <row r="2589" spans="1:15" x14ac:dyDescent="0.3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</row>
    <row r="2590" spans="1:15" x14ac:dyDescent="0.3">
      <c r="A2590" s="4" t="s">
        <v>1339</v>
      </c>
      <c r="B2590" s="4" t="s">
        <v>49</v>
      </c>
      <c r="C2590" s="4" t="s">
        <v>12</v>
      </c>
      <c r="D2590" s="4">
        <v>26843400</v>
      </c>
      <c r="E2590" s="4">
        <v>342</v>
      </c>
      <c r="F2590" s="4" t="s">
        <v>1433</v>
      </c>
      <c r="G2590" s="4">
        <v>342</v>
      </c>
      <c r="H2590" s="4">
        <v>0</v>
      </c>
      <c r="I2590" s="4">
        <v>0</v>
      </c>
      <c r="J2590" s="4"/>
      <c r="K2590" s="4"/>
      <c r="L2590" s="4"/>
      <c r="M2590" s="4"/>
      <c r="N2590" s="4"/>
      <c r="O2590" s="4"/>
    </row>
    <row r="2591" spans="1:15" x14ac:dyDescent="0.3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</row>
    <row r="2592" spans="1:15" x14ac:dyDescent="0.3">
      <c r="A2592" s="4" t="s">
        <v>1340</v>
      </c>
      <c r="B2592" s="4" t="s">
        <v>49</v>
      </c>
      <c r="C2592" s="4" t="s">
        <v>12</v>
      </c>
      <c r="D2592" s="4">
        <v>26848860</v>
      </c>
      <c r="E2592" s="4">
        <v>12</v>
      </c>
      <c r="F2592" s="4" t="s">
        <v>1433</v>
      </c>
      <c r="G2592" s="4">
        <v>12</v>
      </c>
      <c r="H2592" s="4">
        <v>0</v>
      </c>
      <c r="I2592" s="4">
        <v>0</v>
      </c>
      <c r="J2592" s="4"/>
      <c r="K2592" s="4"/>
      <c r="L2592" s="4"/>
      <c r="M2592" s="4"/>
      <c r="N2592" s="4"/>
      <c r="O2592" s="4"/>
    </row>
    <row r="2593" spans="1:15" x14ac:dyDescent="0.3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</row>
    <row r="2594" spans="1:15" x14ac:dyDescent="0.3">
      <c r="A2594" s="4" t="s">
        <v>1341</v>
      </c>
      <c r="B2594" s="4" t="s">
        <v>49</v>
      </c>
      <c r="C2594" s="4" t="s">
        <v>12</v>
      </c>
      <c r="D2594" s="4">
        <v>26849136</v>
      </c>
      <c r="E2594" s="4">
        <v>739</v>
      </c>
      <c r="F2594" s="4" t="s">
        <v>1433</v>
      </c>
      <c r="G2594" s="4">
        <v>739</v>
      </c>
      <c r="H2594" s="4">
        <v>0</v>
      </c>
      <c r="I2594" s="4">
        <v>0</v>
      </c>
      <c r="J2594" s="4"/>
      <c r="K2594" s="4"/>
      <c r="L2594" s="4"/>
      <c r="M2594" s="4"/>
      <c r="N2594" s="4"/>
      <c r="O2594" s="4"/>
    </row>
    <row r="2595" spans="1:15" x14ac:dyDescent="0.3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</row>
    <row r="2596" spans="1:15" x14ac:dyDescent="0.3">
      <c r="A2596" s="4" t="s">
        <v>1342</v>
      </c>
      <c r="B2596" s="4" t="s">
        <v>49</v>
      </c>
      <c r="C2596" s="4" t="s">
        <v>12</v>
      </c>
      <c r="D2596" s="4">
        <v>26850582</v>
      </c>
      <c r="E2596" s="4">
        <v>328</v>
      </c>
      <c r="F2596" s="4" t="s">
        <v>1433</v>
      </c>
      <c r="G2596" s="4">
        <v>328</v>
      </c>
      <c r="H2596" s="4">
        <v>0</v>
      </c>
      <c r="I2596" s="4">
        <v>0</v>
      </c>
      <c r="J2596" s="4"/>
      <c r="K2596" s="4"/>
      <c r="L2596" s="4"/>
      <c r="M2596" s="4"/>
      <c r="N2596" s="4"/>
      <c r="O2596" s="4"/>
    </row>
    <row r="2597" spans="1:15" x14ac:dyDescent="0.3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</row>
    <row r="2598" spans="1:15" x14ac:dyDescent="0.3">
      <c r="A2598" s="4" t="s">
        <v>1343</v>
      </c>
      <c r="B2598" s="4" t="s">
        <v>49</v>
      </c>
      <c r="C2598" s="4" t="s">
        <v>12</v>
      </c>
      <c r="D2598" s="4">
        <v>26851416</v>
      </c>
      <c r="E2598" s="4">
        <v>2154</v>
      </c>
      <c r="F2598" s="4" t="s">
        <v>1433</v>
      </c>
      <c r="G2598" s="4">
        <v>2154</v>
      </c>
      <c r="H2598" s="4">
        <v>0</v>
      </c>
      <c r="I2598" s="4">
        <v>0</v>
      </c>
      <c r="J2598" s="4"/>
      <c r="K2598" s="4"/>
      <c r="L2598" s="4"/>
      <c r="M2598" s="4"/>
      <c r="N2598" s="4"/>
      <c r="O2598" s="4"/>
    </row>
    <row r="2599" spans="1:15" x14ac:dyDescent="0.3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</row>
    <row r="2600" spans="1:15" x14ac:dyDescent="0.3">
      <c r="A2600" s="4" t="s">
        <v>1344</v>
      </c>
      <c r="B2600" s="4" t="s">
        <v>49</v>
      </c>
      <c r="C2600" s="4" t="s">
        <v>12</v>
      </c>
      <c r="D2600" s="4">
        <v>26854482</v>
      </c>
      <c r="E2600" s="4">
        <v>15</v>
      </c>
      <c r="F2600" s="4" t="s">
        <v>1433</v>
      </c>
      <c r="G2600" s="4">
        <v>15</v>
      </c>
      <c r="H2600" s="4">
        <v>0</v>
      </c>
      <c r="I2600" s="4">
        <v>0</v>
      </c>
      <c r="J2600" s="4"/>
      <c r="K2600" s="4"/>
      <c r="L2600" s="4"/>
      <c r="M2600" s="4"/>
      <c r="N2600" s="4"/>
      <c r="O2600" s="4"/>
    </row>
    <row r="2601" spans="1:15" x14ac:dyDescent="0.3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</row>
    <row r="2602" spans="1:15" x14ac:dyDescent="0.3">
      <c r="A2602" s="4" t="s">
        <v>1345</v>
      </c>
      <c r="B2602" s="4" t="s">
        <v>47</v>
      </c>
      <c r="C2602" s="4" t="s">
        <v>12</v>
      </c>
      <c r="D2602" s="4">
        <v>26855292</v>
      </c>
      <c r="E2602" s="4">
        <v>1195</v>
      </c>
      <c r="F2602" s="4" t="s">
        <v>1433</v>
      </c>
      <c r="G2602" s="4">
        <v>1195</v>
      </c>
      <c r="H2602" s="4">
        <v>0</v>
      </c>
      <c r="I2602" s="4">
        <v>0</v>
      </c>
      <c r="J2602" s="4"/>
      <c r="K2602" s="4"/>
      <c r="L2602" s="4"/>
      <c r="M2602" s="4"/>
      <c r="N2602" s="4"/>
      <c r="O2602" s="4"/>
    </row>
    <row r="2603" spans="1:15" x14ac:dyDescent="0.3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</row>
    <row r="2604" spans="1:15" x14ac:dyDescent="0.3">
      <c r="A2604" s="4" t="s">
        <v>1346</v>
      </c>
      <c r="B2604" s="4" t="s">
        <v>49</v>
      </c>
      <c r="C2604" s="4" t="s">
        <v>12</v>
      </c>
      <c r="D2604" s="4">
        <v>26855346</v>
      </c>
      <c r="E2604" s="4">
        <v>20315</v>
      </c>
      <c r="F2604" s="4" t="s">
        <v>1433</v>
      </c>
      <c r="G2604" s="4">
        <v>20315</v>
      </c>
      <c r="H2604" s="4">
        <v>0</v>
      </c>
      <c r="I2604" s="4">
        <v>0</v>
      </c>
      <c r="J2604" s="4"/>
      <c r="K2604" s="4"/>
      <c r="L2604" s="4"/>
      <c r="M2604" s="4"/>
      <c r="N2604" s="4"/>
      <c r="O2604" s="4"/>
    </row>
    <row r="2605" spans="1:15" x14ac:dyDescent="0.3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</row>
    <row r="2606" spans="1:15" x14ac:dyDescent="0.3">
      <c r="A2606" s="4" t="s">
        <v>1347</v>
      </c>
      <c r="B2606" s="4" t="s">
        <v>49</v>
      </c>
      <c r="C2606" s="4" t="s">
        <v>12</v>
      </c>
      <c r="D2606" s="4">
        <v>26857728</v>
      </c>
      <c r="E2606" s="4">
        <v>39</v>
      </c>
      <c r="F2606" s="4" t="s">
        <v>1433</v>
      </c>
      <c r="G2606" s="4">
        <v>39</v>
      </c>
      <c r="H2606" s="4">
        <v>0</v>
      </c>
      <c r="I2606" s="4">
        <v>0</v>
      </c>
      <c r="J2606" s="4"/>
      <c r="K2606" s="4"/>
      <c r="L2606" s="4"/>
      <c r="M2606" s="4"/>
      <c r="N2606" s="4"/>
      <c r="O2606" s="4"/>
    </row>
    <row r="2607" spans="1:15" x14ac:dyDescent="0.3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</row>
    <row r="2608" spans="1:15" x14ac:dyDescent="0.3">
      <c r="A2608" s="4" t="s">
        <v>1348</v>
      </c>
      <c r="B2608" s="4" t="s">
        <v>49</v>
      </c>
      <c r="C2608" s="4" t="s">
        <v>12</v>
      </c>
      <c r="D2608" s="4">
        <v>26859444</v>
      </c>
      <c r="E2608" s="4">
        <v>14</v>
      </c>
      <c r="F2608" s="4" t="s">
        <v>1433</v>
      </c>
      <c r="G2608" s="4">
        <v>14</v>
      </c>
      <c r="H2608" s="4">
        <v>0</v>
      </c>
      <c r="I2608" s="4">
        <v>0</v>
      </c>
      <c r="J2608" s="4"/>
      <c r="K2608" s="4"/>
      <c r="L2608" s="4"/>
      <c r="M2608" s="4"/>
      <c r="N2608" s="4"/>
      <c r="O2608" s="4"/>
    </row>
    <row r="2609" spans="1:15" x14ac:dyDescent="0.3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</row>
    <row r="2610" spans="1:15" x14ac:dyDescent="0.3">
      <c r="A2610" s="4" t="s">
        <v>1349</v>
      </c>
      <c r="B2610" s="4" t="s">
        <v>49</v>
      </c>
      <c r="C2610" s="4" t="s">
        <v>12</v>
      </c>
      <c r="D2610" s="4">
        <v>26860122</v>
      </c>
      <c r="E2610" s="4">
        <v>110</v>
      </c>
      <c r="F2610" s="4" t="s">
        <v>1433</v>
      </c>
      <c r="G2610" s="4">
        <v>110</v>
      </c>
      <c r="H2610" s="4">
        <v>0</v>
      </c>
      <c r="I2610" s="4">
        <v>0</v>
      </c>
      <c r="J2610" s="4"/>
      <c r="K2610" s="4"/>
      <c r="L2610" s="4"/>
      <c r="M2610" s="4"/>
      <c r="N2610" s="4"/>
      <c r="O2610" s="4"/>
    </row>
    <row r="2611" spans="1:15" x14ac:dyDescent="0.3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</row>
    <row r="2612" spans="1:15" x14ac:dyDescent="0.3">
      <c r="A2612" s="4" t="s">
        <v>1350</v>
      </c>
      <c r="B2612" s="4" t="s">
        <v>49</v>
      </c>
      <c r="C2612" s="4" t="s">
        <v>12</v>
      </c>
      <c r="D2612" s="4">
        <v>26860668</v>
      </c>
      <c r="E2612" s="4">
        <v>424</v>
      </c>
      <c r="F2612" s="4" t="s">
        <v>1433</v>
      </c>
      <c r="G2612" s="4">
        <v>424</v>
      </c>
      <c r="H2612" s="4">
        <v>0</v>
      </c>
      <c r="I2612" s="4">
        <v>0</v>
      </c>
      <c r="J2612" s="4"/>
      <c r="K2612" s="4"/>
      <c r="L2612" s="4"/>
      <c r="M2612" s="4"/>
      <c r="N2612" s="4"/>
      <c r="O2612" s="4"/>
    </row>
    <row r="2613" spans="1:15" x14ac:dyDescent="0.3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</row>
    <row r="2614" spans="1:15" x14ac:dyDescent="0.3">
      <c r="A2614" s="4" t="s">
        <v>1351</v>
      </c>
      <c r="B2614" s="4" t="s">
        <v>49</v>
      </c>
      <c r="C2614" s="4" t="s">
        <v>12</v>
      </c>
      <c r="D2614" s="4">
        <v>26860800</v>
      </c>
      <c r="E2614" s="4">
        <v>27</v>
      </c>
      <c r="F2614" s="4" t="s">
        <v>1433</v>
      </c>
      <c r="G2614" s="4">
        <v>27</v>
      </c>
      <c r="H2614" s="4">
        <v>0</v>
      </c>
      <c r="I2614" s="4">
        <v>0</v>
      </c>
      <c r="J2614" s="4"/>
      <c r="K2614" s="4"/>
      <c r="L2614" s="4"/>
      <c r="M2614" s="4"/>
      <c r="N2614" s="4"/>
      <c r="O2614" s="4"/>
    </row>
    <row r="2615" spans="1:15" x14ac:dyDescent="0.3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</row>
    <row r="2616" spans="1:15" x14ac:dyDescent="0.3">
      <c r="A2616" s="4" t="s">
        <v>1352</v>
      </c>
      <c r="B2616" s="4" t="s">
        <v>49</v>
      </c>
      <c r="C2616" s="4" t="s">
        <v>12</v>
      </c>
      <c r="D2616" s="4">
        <v>26860992</v>
      </c>
      <c r="E2616" s="4">
        <v>951</v>
      </c>
      <c r="F2616" s="4" t="s">
        <v>1433</v>
      </c>
      <c r="G2616" s="4">
        <v>951</v>
      </c>
      <c r="H2616" s="4">
        <v>0</v>
      </c>
      <c r="I2616" s="4">
        <v>0</v>
      </c>
      <c r="J2616" s="4"/>
      <c r="K2616" s="4"/>
      <c r="L2616" s="4"/>
      <c r="M2616" s="4"/>
      <c r="N2616" s="4"/>
      <c r="O2616" s="4"/>
    </row>
    <row r="2617" spans="1:15" x14ac:dyDescent="0.3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</row>
    <row r="2618" spans="1:15" x14ac:dyDescent="0.3">
      <c r="A2618" s="4" t="s">
        <v>1353</v>
      </c>
      <c r="B2618" s="4" t="s">
        <v>49</v>
      </c>
      <c r="C2618" s="4" t="s">
        <v>12</v>
      </c>
      <c r="D2618" s="4">
        <v>26866410</v>
      </c>
      <c r="E2618" s="4">
        <v>1615</v>
      </c>
      <c r="F2618" s="4" t="s">
        <v>1433</v>
      </c>
      <c r="G2618" s="4">
        <v>1615</v>
      </c>
      <c r="H2618" s="4">
        <v>0</v>
      </c>
      <c r="I2618" s="4">
        <v>0</v>
      </c>
      <c r="J2618" s="4"/>
      <c r="K2618" s="4"/>
      <c r="L2618" s="4"/>
      <c r="M2618" s="4"/>
      <c r="N2618" s="4"/>
      <c r="O2618" s="4"/>
    </row>
    <row r="2619" spans="1:15" x14ac:dyDescent="0.3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</row>
    <row r="2620" spans="1:15" x14ac:dyDescent="0.3">
      <c r="A2620" s="4" t="s">
        <v>1354</v>
      </c>
      <c r="B2620" s="4" t="s">
        <v>49</v>
      </c>
      <c r="C2620" s="4" t="s">
        <v>12</v>
      </c>
      <c r="D2620" s="4">
        <v>26866902</v>
      </c>
      <c r="E2620" s="4">
        <v>39</v>
      </c>
      <c r="F2620" s="4" t="s">
        <v>1433</v>
      </c>
      <c r="G2620" s="4">
        <v>39</v>
      </c>
      <c r="H2620" s="4">
        <v>0</v>
      </c>
      <c r="I2620" s="4">
        <v>0</v>
      </c>
      <c r="J2620" s="4"/>
      <c r="K2620" s="4"/>
      <c r="L2620" s="4"/>
      <c r="M2620" s="4"/>
      <c r="N2620" s="4"/>
      <c r="O2620" s="4"/>
    </row>
    <row r="2621" spans="1:15" x14ac:dyDescent="0.3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</row>
    <row r="2622" spans="1:15" x14ac:dyDescent="0.3">
      <c r="A2622" s="4" t="s">
        <v>1355</v>
      </c>
      <c r="B2622" s="4" t="s">
        <v>49</v>
      </c>
      <c r="C2622" s="4" t="s">
        <v>12</v>
      </c>
      <c r="D2622" s="4">
        <v>26869026</v>
      </c>
      <c r="E2622" s="4">
        <v>97</v>
      </c>
      <c r="F2622" s="4" t="s">
        <v>1433</v>
      </c>
      <c r="G2622" s="4">
        <v>97</v>
      </c>
      <c r="H2622" s="4">
        <v>0</v>
      </c>
      <c r="I2622" s="4">
        <v>0</v>
      </c>
      <c r="J2622" s="4"/>
      <c r="K2622" s="4"/>
      <c r="L2622" s="4"/>
      <c r="M2622" s="4"/>
      <c r="N2622" s="4"/>
      <c r="O2622" s="4"/>
    </row>
    <row r="2623" spans="1:15" x14ac:dyDescent="0.3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</row>
    <row r="2624" spans="1:15" x14ac:dyDescent="0.3">
      <c r="A2624" s="4" t="s">
        <v>1356</v>
      </c>
      <c r="B2624" s="4" t="s">
        <v>49</v>
      </c>
      <c r="C2624" s="4" t="s">
        <v>12</v>
      </c>
      <c r="D2624" s="4">
        <v>26869044</v>
      </c>
      <c r="E2624" s="4">
        <v>51</v>
      </c>
      <c r="F2624" s="4" t="s">
        <v>1433</v>
      </c>
      <c r="G2624" s="4">
        <v>51</v>
      </c>
      <c r="H2624" s="4">
        <v>0</v>
      </c>
      <c r="I2624" s="4">
        <v>0</v>
      </c>
      <c r="J2624" s="4"/>
      <c r="K2624" s="4"/>
      <c r="L2624" s="4"/>
      <c r="M2624" s="4"/>
      <c r="N2624" s="4"/>
      <c r="O2624" s="4"/>
    </row>
    <row r="2625" spans="1:15" x14ac:dyDescent="0.3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</row>
    <row r="2626" spans="1:15" x14ac:dyDescent="0.3">
      <c r="A2626" s="4" t="s">
        <v>1357</v>
      </c>
      <c r="B2626" s="4" t="s">
        <v>49</v>
      </c>
      <c r="C2626" s="4" t="s">
        <v>12</v>
      </c>
      <c r="D2626" s="4">
        <v>26869860</v>
      </c>
      <c r="E2626" s="4">
        <v>6</v>
      </c>
      <c r="F2626" s="4" t="s">
        <v>1433</v>
      </c>
      <c r="G2626" s="4">
        <v>6</v>
      </c>
      <c r="H2626" s="4">
        <v>0</v>
      </c>
      <c r="I2626" s="4">
        <v>0</v>
      </c>
      <c r="J2626" s="4"/>
      <c r="K2626" s="4"/>
      <c r="L2626" s="4"/>
      <c r="M2626" s="4"/>
      <c r="N2626" s="4"/>
      <c r="O2626" s="4"/>
    </row>
    <row r="2627" spans="1:15" x14ac:dyDescent="0.3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</row>
    <row r="2628" spans="1:15" x14ac:dyDescent="0.3">
      <c r="A2628" s="4" t="s">
        <v>1358</v>
      </c>
      <c r="B2628" s="4" t="s">
        <v>49</v>
      </c>
      <c r="C2628" s="4" t="s">
        <v>12</v>
      </c>
      <c r="D2628" s="4">
        <v>26870064</v>
      </c>
      <c r="E2628" s="4">
        <v>612</v>
      </c>
      <c r="F2628" s="4" t="s">
        <v>1433</v>
      </c>
      <c r="G2628" s="4">
        <v>612</v>
      </c>
      <c r="H2628" s="4">
        <v>0</v>
      </c>
      <c r="I2628" s="4">
        <v>0</v>
      </c>
      <c r="J2628" s="4"/>
      <c r="K2628" s="4"/>
      <c r="L2628" s="4"/>
      <c r="M2628" s="4"/>
      <c r="N2628" s="4"/>
      <c r="O2628" s="4"/>
    </row>
    <row r="2629" spans="1:15" x14ac:dyDescent="0.3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</row>
    <row r="2630" spans="1:15" x14ac:dyDescent="0.3">
      <c r="A2630" s="4" t="s">
        <v>1359</v>
      </c>
      <c r="B2630" s="4" t="s">
        <v>49</v>
      </c>
      <c r="C2630" s="4" t="s">
        <v>12</v>
      </c>
      <c r="D2630" s="4">
        <v>26870160</v>
      </c>
      <c r="E2630" s="4">
        <v>352</v>
      </c>
      <c r="F2630" s="4" t="s">
        <v>1433</v>
      </c>
      <c r="G2630" s="4">
        <v>352</v>
      </c>
      <c r="H2630" s="4">
        <v>0</v>
      </c>
      <c r="I2630" s="4">
        <v>0</v>
      </c>
      <c r="J2630" s="4"/>
      <c r="K2630" s="4"/>
      <c r="L2630" s="4"/>
      <c r="M2630" s="4"/>
      <c r="N2630" s="4"/>
      <c r="O2630" s="4"/>
    </row>
    <row r="2631" spans="1:15" x14ac:dyDescent="0.3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</row>
    <row r="2632" spans="1:15" x14ac:dyDescent="0.3">
      <c r="A2632" s="4" t="s">
        <v>1360</v>
      </c>
      <c r="B2632" s="4" t="s">
        <v>49</v>
      </c>
      <c r="C2632" s="4" t="s">
        <v>12</v>
      </c>
      <c r="D2632" s="4">
        <v>26870364</v>
      </c>
      <c r="E2632" s="4">
        <v>514</v>
      </c>
      <c r="F2632" s="4" t="s">
        <v>1433</v>
      </c>
      <c r="G2632" s="4">
        <v>514</v>
      </c>
      <c r="H2632" s="4">
        <v>0</v>
      </c>
      <c r="I2632" s="4">
        <v>0</v>
      </c>
      <c r="J2632" s="4"/>
      <c r="K2632" s="4"/>
      <c r="L2632" s="4"/>
      <c r="M2632" s="4"/>
      <c r="N2632" s="4"/>
      <c r="O2632" s="4"/>
    </row>
    <row r="2633" spans="1:15" x14ac:dyDescent="0.3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</row>
    <row r="2634" spans="1:15" x14ac:dyDescent="0.3">
      <c r="A2634" s="4" t="s">
        <v>1361</v>
      </c>
      <c r="B2634" s="4" t="s">
        <v>49</v>
      </c>
      <c r="C2634" s="4" t="s">
        <v>12</v>
      </c>
      <c r="D2634" s="4">
        <v>26880306</v>
      </c>
      <c r="E2634" s="4">
        <v>3600</v>
      </c>
      <c r="F2634" s="4" t="s">
        <v>1433</v>
      </c>
      <c r="G2634" s="4">
        <v>3600</v>
      </c>
      <c r="H2634" s="4">
        <v>0</v>
      </c>
      <c r="I2634" s="4">
        <v>0</v>
      </c>
      <c r="J2634" s="4"/>
      <c r="K2634" s="4"/>
      <c r="L2634" s="4"/>
      <c r="M2634" s="4"/>
      <c r="N2634" s="4"/>
      <c r="O2634" s="4"/>
    </row>
    <row r="2635" spans="1:15" x14ac:dyDescent="0.3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</row>
    <row r="2636" spans="1:15" x14ac:dyDescent="0.3">
      <c r="A2636" s="4" t="s">
        <v>1362</v>
      </c>
      <c r="B2636" s="4" t="s">
        <v>49</v>
      </c>
      <c r="C2636" s="4" t="s">
        <v>12</v>
      </c>
      <c r="D2636" s="4">
        <v>26880648</v>
      </c>
      <c r="E2636" s="4">
        <v>220</v>
      </c>
      <c r="F2636" s="4" t="s">
        <v>1433</v>
      </c>
      <c r="G2636" s="4">
        <v>220</v>
      </c>
      <c r="H2636" s="4">
        <v>0</v>
      </c>
      <c r="I2636" s="4">
        <v>0</v>
      </c>
      <c r="J2636" s="4"/>
      <c r="K2636" s="4"/>
      <c r="L2636" s="4"/>
      <c r="M2636" s="4"/>
      <c r="N2636" s="4"/>
      <c r="O2636" s="4"/>
    </row>
    <row r="2637" spans="1:15" x14ac:dyDescent="0.3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</row>
    <row r="2638" spans="1:15" x14ac:dyDescent="0.3">
      <c r="A2638" s="4" t="s">
        <v>1363</v>
      </c>
      <c r="B2638" s="4" t="s">
        <v>49</v>
      </c>
      <c r="C2638" s="4" t="s">
        <v>12</v>
      </c>
      <c r="D2638" s="4">
        <v>26880654</v>
      </c>
      <c r="E2638" s="4">
        <v>257</v>
      </c>
      <c r="F2638" s="4" t="s">
        <v>1433</v>
      </c>
      <c r="G2638" s="4">
        <v>257</v>
      </c>
      <c r="H2638" s="4">
        <v>0</v>
      </c>
      <c r="I2638" s="4">
        <v>0</v>
      </c>
      <c r="J2638" s="4"/>
      <c r="K2638" s="4"/>
      <c r="L2638" s="4"/>
      <c r="M2638" s="4"/>
      <c r="N2638" s="4"/>
      <c r="O2638" s="4"/>
    </row>
    <row r="2639" spans="1:15" x14ac:dyDescent="0.3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</row>
    <row r="2640" spans="1:15" x14ac:dyDescent="0.3">
      <c r="A2640" s="4" t="s">
        <v>1364</v>
      </c>
      <c r="B2640" s="4" t="s">
        <v>49</v>
      </c>
      <c r="C2640" s="4" t="s">
        <v>12</v>
      </c>
      <c r="D2640" s="4">
        <v>26880660</v>
      </c>
      <c r="E2640" s="4">
        <v>10</v>
      </c>
      <c r="F2640" s="4" t="s">
        <v>1433</v>
      </c>
      <c r="G2640" s="4">
        <v>10</v>
      </c>
      <c r="H2640" s="4">
        <v>0</v>
      </c>
      <c r="I2640" s="4">
        <v>0</v>
      </c>
      <c r="J2640" s="4"/>
      <c r="K2640" s="4"/>
      <c r="L2640" s="4"/>
      <c r="M2640" s="4"/>
      <c r="N2640" s="4"/>
      <c r="O2640" s="4"/>
    </row>
    <row r="2641" spans="1:15" x14ac:dyDescent="0.3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</row>
    <row r="2642" spans="1:15" x14ac:dyDescent="0.3">
      <c r="A2642" s="4" t="s">
        <v>1365</v>
      </c>
      <c r="B2642" s="4" t="s">
        <v>49</v>
      </c>
      <c r="C2642" s="4" t="s">
        <v>12</v>
      </c>
      <c r="D2642" s="4">
        <v>26882298</v>
      </c>
      <c r="E2642" s="4">
        <v>212</v>
      </c>
      <c r="F2642" s="4" t="s">
        <v>1433</v>
      </c>
      <c r="G2642" s="4">
        <v>212</v>
      </c>
      <c r="H2642" s="4">
        <v>0</v>
      </c>
      <c r="I2642" s="4">
        <v>0</v>
      </c>
      <c r="J2642" s="4"/>
      <c r="K2642" s="4"/>
      <c r="L2642" s="4"/>
      <c r="M2642" s="4"/>
      <c r="N2642" s="4"/>
      <c r="O2642" s="4"/>
    </row>
    <row r="2643" spans="1:15" x14ac:dyDescent="0.3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</row>
    <row r="2644" spans="1:15" x14ac:dyDescent="0.3">
      <c r="A2644" s="4" t="s">
        <v>1366</v>
      </c>
      <c r="B2644" s="4" t="s">
        <v>49</v>
      </c>
      <c r="C2644" s="4" t="s">
        <v>12</v>
      </c>
      <c r="D2644" s="4">
        <v>26882832</v>
      </c>
      <c r="E2644" s="4">
        <v>81</v>
      </c>
      <c r="F2644" s="4" t="s">
        <v>1433</v>
      </c>
      <c r="G2644" s="4">
        <v>81</v>
      </c>
      <c r="H2644" s="4">
        <v>0</v>
      </c>
      <c r="I2644" s="4">
        <v>0</v>
      </c>
      <c r="J2644" s="4"/>
      <c r="K2644" s="4"/>
      <c r="L2644" s="4"/>
      <c r="M2644" s="4"/>
      <c r="N2644" s="4"/>
      <c r="O2644" s="4"/>
    </row>
    <row r="2645" spans="1:15" x14ac:dyDescent="0.3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</row>
    <row r="2646" spans="1:15" x14ac:dyDescent="0.3">
      <c r="A2646" s="4" t="s">
        <v>1367</v>
      </c>
      <c r="B2646" s="4" t="s">
        <v>49</v>
      </c>
      <c r="C2646" s="4" t="s">
        <v>12</v>
      </c>
      <c r="D2646" s="4">
        <v>26893344</v>
      </c>
      <c r="E2646" s="4">
        <v>458</v>
      </c>
      <c r="F2646" s="4" t="s">
        <v>1433</v>
      </c>
      <c r="G2646" s="4">
        <v>458</v>
      </c>
      <c r="H2646" s="4">
        <v>0</v>
      </c>
      <c r="I2646" s="4">
        <v>0</v>
      </c>
      <c r="J2646" s="4"/>
      <c r="K2646" s="4"/>
      <c r="L2646" s="4"/>
      <c r="M2646" s="4"/>
      <c r="N2646" s="4"/>
      <c r="O2646" s="4"/>
    </row>
    <row r="2647" spans="1:15" x14ac:dyDescent="0.3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</row>
    <row r="2648" spans="1:15" x14ac:dyDescent="0.3">
      <c r="A2648" s="4" t="s">
        <v>1368</v>
      </c>
      <c r="B2648" s="4" t="s">
        <v>49</v>
      </c>
      <c r="C2648" s="4" t="s">
        <v>12</v>
      </c>
      <c r="D2648" s="4">
        <v>26893350</v>
      </c>
      <c r="E2648" s="4">
        <v>458</v>
      </c>
      <c r="F2648" s="4" t="s">
        <v>1433</v>
      </c>
      <c r="G2648" s="4">
        <v>458</v>
      </c>
      <c r="H2648" s="4">
        <v>0</v>
      </c>
      <c r="I2648" s="4">
        <v>0</v>
      </c>
      <c r="J2648" s="4"/>
      <c r="K2648" s="4"/>
      <c r="L2648" s="4"/>
      <c r="M2648" s="4"/>
      <c r="N2648" s="4"/>
      <c r="O2648" s="4"/>
    </row>
    <row r="2649" spans="1:15" x14ac:dyDescent="0.3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</row>
    <row r="2650" spans="1:15" x14ac:dyDescent="0.3">
      <c r="A2650" s="4" t="s">
        <v>1369</v>
      </c>
      <c r="B2650" s="4" t="s">
        <v>49</v>
      </c>
      <c r="C2650" s="4" t="s">
        <v>12</v>
      </c>
      <c r="D2650" s="4">
        <v>26893356</v>
      </c>
      <c r="E2650" s="4">
        <v>458</v>
      </c>
      <c r="F2650" s="4" t="s">
        <v>1433</v>
      </c>
      <c r="G2650" s="4">
        <v>458</v>
      </c>
      <c r="H2650" s="4">
        <v>0</v>
      </c>
      <c r="I2650" s="4">
        <v>0</v>
      </c>
      <c r="J2650" s="4"/>
      <c r="K2650" s="4"/>
      <c r="L2650" s="4"/>
      <c r="M2650" s="4"/>
      <c r="N2650" s="4"/>
      <c r="O2650" s="4"/>
    </row>
    <row r="2651" spans="1:15" x14ac:dyDescent="0.3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</row>
    <row r="2652" spans="1:15" x14ac:dyDescent="0.3">
      <c r="A2652" s="4" t="s">
        <v>1370</v>
      </c>
      <c r="B2652" s="4" t="s">
        <v>49</v>
      </c>
      <c r="C2652" s="4" t="s">
        <v>12</v>
      </c>
      <c r="D2652" s="4">
        <v>26893746</v>
      </c>
      <c r="E2652" s="4">
        <v>2581</v>
      </c>
      <c r="F2652" s="4" t="s">
        <v>1433</v>
      </c>
      <c r="G2652" s="4">
        <v>2581</v>
      </c>
      <c r="H2652" s="4">
        <v>0</v>
      </c>
      <c r="I2652" s="4">
        <v>0</v>
      </c>
      <c r="J2652" s="4"/>
      <c r="K2652" s="4"/>
      <c r="L2652" s="4"/>
      <c r="M2652" s="4"/>
      <c r="N2652" s="4"/>
      <c r="O2652" s="4"/>
    </row>
    <row r="2653" spans="1:15" x14ac:dyDescent="0.3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</row>
    <row r="2654" spans="1:15" x14ac:dyDescent="0.3">
      <c r="A2654" s="4" t="s">
        <v>1371</v>
      </c>
      <c r="B2654" s="4" t="s">
        <v>47</v>
      </c>
      <c r="C2654" s="4" t="s">
        <v>12</v>
      </c>
      <c r="D2654" s="4">
        <v>26895348</v>
      </c>
      <c r="E2654" s="4">
        <v>823</v>
      </c>
      <c r="F2654" s="4" t="s">
        <v>1433</v>
      </c>
      <c r="G2654" s="4">
        <v>823</v>
      </c>
      <c r="H2654" s="4">
        <v>0</v>
      </c>
      <c r="I2654" s="4">
        <v>0</v>
      </c>
      <c r="J2654" s="4"/>
      <c r="K2654" s="4"/>
      <c r="L2654" s="4"/>
      <c r="M2654" s="4"/>
      <c r="N2654" s="4"/>
      <c r="O2654" s="4"/>
    </row>
    <row r="2655" spans="1:15" x14ac:dyDescent="0.3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</row>
    <row r="2656" spans="1:15" x14ac:dyDescent="0.3">
      <c r="A2656" s="4" t="s">
        <v>1372</v>
      </c>
      <c r="B2656" s="4" t="s">
        <v>49</v>
      </c>
      <c r="C2656" s="4" t="s">
        <v>12</v>
      </c>
      <c r="D2656" s="4">
        <v>26895432</v>
      </c>
      <c r="E2656" s="4">
        <v>1967</v>
      </c>
      <c r="F2656" s="4" t="s">
        <v>1433</v>
      </c>
      <c r="G2656" s="4">
        <v>1967</v>
      </c>
      <c r="H2656" s="4">
        <v>0</v>
      </c>
      <c r="I2656" s="4">
        <v>0</v>
      </c>
      <c r="J2656" s="4"/>
      <c r="K2656" s="4"/>
      <c r="L2656" s="4"/>
      <c r="M2656" s="4"/>
      <c r="N2656" s="4"/>
      <c r="O2656" s="4"/>
    </row>
    <row r="2657" spans="1:15" x14ac:dyDescent="0.3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</row>
    <row r="2658" spans="1:15" x14ac:dyDescent="0.3">
      <c r="A2658" s="4" t="s">
        <v>1373</v>
      </c>
      <c r="B2658" s="4" t="s">
        <v>49</v>
      </c>
      <c r="C2658" s="4" t="s">
        <v>12</v>
      </c>
      <c r="D2658" s="4">
        <v>26896476</v>
      </c>
      <c r="E2658" s="4">
        <v>252</v>
      </c>
      <c r="F2658" s="4" t="s">
        <v>1433</v>
      </c>
      <c r="G2658" s="4">
        <v>252</v>
      </c>
      <c r="H2658" s="4">
        <v>0</v>
      </c>
      <c r="I2658" s="4">
        <v>0</v>
      </c>
      <c r="J2658" s="4"/>
      <c r="K2658" s="4"/>
      <c r="L2658" s="4"/>
      <c r="M2658" s="4"/>
      <c r="N2658" s="4"/>
      <c r="O2658" s="4"/>
    </row>
    <row r="2659" spans="1:15" x14ac:dyDescent="0.3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</row>
    <row r="2660" spans="1:15" x14ac:dyDescent="0.3">
      <c r="A2660" s="4" t="s">
        <v>1374</v>
      </c>
      <c r="B2660" s="4" t="s">
        <v>49</v>
      </c>
      <c r="C2660" s="4" t="s">
        <v>12</v>
      </c>
      <c r="D2660" s="4">
        <v>26896536</v>
      </c>
      <c r="E2660" s="4">
        <v>1075</v>
      </c>
      <c r="F2660" s="4" t="s">
        <v>1433</v>
      </c>
      <c r="G2660" s="4">
        <v>1075</v>
      </c>
      <c r="H2660" s="4">
        <v>0</v>
      </c>
      <c r="I2660" s="4">
        <v>0</v>
      </c>
      <c r="J2660" s="4"/>
      <c r="K2660" s="4"/>
      <c r="L2660" s="4"/>
      <c r="M2660" s="4"/>
      <c r="N2660" s="4"/>
      <c r="O2660" s="4"/>
    </row>
    <row r="2661" spans="1:15" x14ac:dyDescent="0.3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</row>
    <row r="2662" spans="1:15" x14ac:dyDescent="0.3">
      <c r="A2662" s="4" t="s">
        <v>1375</v>
      </c>
      <c r="B2662" s="4" t="s">
        <v>47</v>
      </c>
      <c r="C2662" s="4" t="s">
        <v>12</v>
      </c>
      <c r="D2662" s="4">
        <v>26903052</v>
      </c>
      <c r="E2662" s="4">
        <v>2400</v>
      </c>
      <c r="F2662" s="4" t="s">
        <v>1433</v>
      </c>
      <c r="G2662" s="4">
        <v>2400</v>
      </c>
      <c r="H2662" s="4">
        <v>0</v>
      </c>
      <c r="I2662" s="4">
        <v>0</v>
      </c>
      <c r="J2662" s="4"/>
      <c r="K2662" s="4"/>
      <c r="L2662" s="4"/>
      <c r="M2662" s="4"/>
      <c r="N2662" s="4"/>
      <c r="O2662" s="4"/>
    </row>
    <row r="2663" spans="1:15" x14ac:dyDescent="0.3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</row>
    <row r="2664" spans="1:15" x14ac:dyDescent="0.3">
      <c r="A2664" s="4" t="s">
        <v>1376</v>
      </c>
      <c r="B2664" s="4" t="s">
        <v>49</v>
      </c>
      <c r="C2664" s="4" t="s">
        <v>12</v>
      </c>
      <c r="D2664" s="14" t="s">
        <v>1434</v>
      </c>
      <c r="E2664" s="4">
        <v>1201</v>
      </c>
      <c r="F2664" s="4" t="s">
        <v>1433</v>
      </c>
      <c r="G2664" s="4">
        <v>1201</v>
      </c>
      <c r="H2664" s="4">
        <v>0</v>
      </c>
      <c r="I2664" s="4">
        <v>0</v>
      </c>
      <c r="J2664" s="4"/>
      <c r="K2664" s="4"/>
      <c r="L2664" s="4"/>
      <c r="M2664" s="4"/>
      <c r="N2664" s="4"/>
      <c r="O2664" s="4"/>
    </row>
    <row r="2665" spans="1:15" x14ac:dyDescent="0.3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</row>
    <row r="2666" spans="1:15" x14ac:dyDescent="0.3">
      <c r="A2666" s="4" t="s">
        <v>1377</v>
      </c>
      <c r="B2666" s="4" t="s">
        <v>46</v>
      </c>
      <c r="C2666" s="4" t="s">
        <v>12</v>
      </c>
      <c r="D2666" s="4" t="s">
        <v>1435</v>
      </c>
      <c r="E2666" s="4">
        <v>3185</v>
      </c>
      <c r="F2666" s="4" t="s">
        <v>1433</v>
      </c>
      <c r="G2666" s="4">
        <v>3185</v>
      </c>
      <c r="H2666" s="4">
        <v>0</v>
      </c>
      <c r="I2666" s="4">
        <v>0</v>
      </c>
      <c r="J2666" s="4"/>
      <c r="K2666" s="4"/>
      <c r="L2666" s="4"/>
      <c r="M2666" s="4"/>
      <c r="N2666" s="4"/>
      <c r="O2666" s="4"/>
    </row>
    <row r="2667" spans="1:15" x14ac:dyDescent="0.3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</row>
    <row r="2668" spans="1:15" x14ac:dyDescent="0.3">
      <c r="A2668" s="4" t="s">
        <v>1378</v>
      </c>
      <c r="B2668" s="4" t="s">
        <v>46</v>
      </c>
      <c r="C2668" s="4" t="s">
        <v>12</v>
      </c>
      <c r="D2668" s="14" t="s">
        <v>1436</v>
      </c>
      <c r="E2668" s="4">
        <v>3610</v>
      </c>
      <c r="F2668" s="4" t="s">
        <v>1433</v>
      </c>
      <c r="G2668" s="4">
        <v>3610</v>
      </c>
      <c r="H2668" s="4">
        <v>0</v>
      </c>
      <c r="I2668" s="4">
        <v>0</v>
      </c>
      <c r="J2668" s="4"/>
      <c r="K2668" s="4"/>
      <c r="L2668" s="4"/>
      <c r="M2668" s="4"/>
      <c r="N2668" s="4"/>
      <c r="O2668" s="4"/>
    </row>
    <row r="2669" spans="1:15" x14ac:dyDescent="0.3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</row>
    <row r="2670" spans="1:15" x14ac:dyDescent="0.3">
      <c r="A2670" s="4" t="s">
        <v>1379</v>
      </c>
      <c r="B2670" s="4" t="s">
        <v>47</v>
      </c>
      <c r="C2670" s="4" t="s">
        <v>12</v>
      </c>
      <c r="D2670" s="4" t="s">
        <v>1437</v>
      </c>
      <c r="E2670" s="4">
        <v>621</v>
      </c>
      <c r="F2670" s="4" t="s">
        <v>1433</v>
      </c>
      <c r="G2670" s="4">
        <v>621</v>
      </c>
      <c r="H2670" s="4">
        <v>0</v>
      </c>
      <c r="I2670" s="4">
        <v>0</v>
      </c>
      <c r="J2670" s="4"/>
      <c r="K2670" s="4"/>
      <c r="L2670" s="4"/>
      <c r="M2670" s="4"/>
      <c r="N2670" s="4"/>
      <c r="O2670" s="4"/>
    </row>
    <row r="2671" spans="1:15" x14ac:dyDescent="0.3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</row>
    <row r="2672" spans="1:15" x14ac:dyDescent="0.3">
      <c r="A2672" s="4" t="s">
        <v>1380</v>
      </c>
      <c r="B2672" s="4" t="s">
        <v>48</v>
      </c>
      <c r="C2672" s="4" t="s">
        <v>12</v>
      </c>
      <c r="D2672" s="14" t="s">
        <v>1438</v>
      </c>
      <c r="E2672" s="4">
        <v>9643</v>
      </c>
      <c r="F2672" s="4" t="s">
        <v>1433</v>
      </c>
      <c r="G2672" s="4">
        <v>9643</v>
      </c>
      <c r="H2672" s="4">
        <v>0</v>
      </c>
      <c r="I2672" s="4">
        <v>0</v>
      </c>
      <c r="J2672" s="4"/>
      <c r="K2672" s="4"/>
      <c r="L2672" s="4"/>
      <c r="M2672" s="4"/>
      <c r="N2672" s="4"/>
      <c r="O2672" s="4"/>
    </row>
    <row r="2673" spans="1:15" x14ac:dyDescent="0.3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</row>
    <row r="2674" spans="1:15" x14ac:dyDescent="0.3">
      <c r="A2674" s="4" t="s">
        <v>1381</v>
      </c>
      <c r="B2674" s="4" t="s">
        <v>46</v>
      </c>
      <c r="C2674" s="4" t="s">
        <v>12</v>
      </c>
      <c r="D2674" s="4" t="s">
        <v>1439</v>
      </c>
      <c r="E2674" s="4">
        <v>26919</v>
      </c>
      <c r="F2674" s="4" t="s">
        <v>1433</v>
      </c>
      <c r="G2674" s="4">
        <v>26919</v>
      </c>
      <c r="H2674" s="4">
        <v>0</v>
      </c>
      <c r="I2674" s="4">
        <v>0</v>
      </c>
      <c r="J2674" s="4"/>
      <c r="K2674" s="4"/>
      <c r="L2674" s="4"/>
      <c r="M2674" s="4"/>
      <c r="N2674" s="4"/>
      <c r="O2674" s="4"/>
    </row>
    <row r="2675" spans="1:15" x14ac:dyDescent="0.3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</row>
    <row r="2676" spans="1:15" x14ac:dyDescent="0.3">
      <c r="A2676" s="4" t="s">
        <v>1382</v>
      </c>
      <c r="B2676" s="4" t="s">
        <v>48</v>
      </c>
      <c r="C2676" s="4" t="s">
        <v>12</v>
      </c>
      <c r="D2676" s="14" t="s">
        <v>1440</v>
      </c>
      <c r="E2676" s="4">
        <v>10300</v>
      </c>
      <c r="F2676" s="4" t="s">
        <v>1433</v>
      </c>
      <c r="G2676" s="4">
        <v>10300</v>
      </c>
      <c r="H2676" s="4">
        <v>0</v>
      </c>
      <c r="I2676" s="4">
        <v>0</v>
      </c>
      <c r="J2676" s="4"/>
      <c r="K2676" s="4"/>
      <c r="L2676" s="4"/>
      <c r="M2676" s="4"/>
      <c r="N2676" s="4"/>
      <c r="O2676" s="4"/>
    </row>
    <row r="2677" spans="1:15" x14ac:dyDescent="0.3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</row>
    <row r="2678" spans="1:15" x14ac:dyDescent="0.3">
      <c r="A2678" s="4" t="s">
        <v>1383</v>
      </c>
      <c r="B2678" s="4" t="s">
        <v>47</v>
      </c>
      <c r="C2678" s="4" t="s">
        <v>12</v>
      </c>
      <c r="D2678" s="4" t="s">
        <v>1441</v>
      </c>
      <c r="E2678" s="4">
        <v>3974</v>
      </c>
      <c r="F2678" s="4" t="s">
        <v>1433</v>
      </c>
      <c r="G2678" s="4">
        <v>3974</v>
      </c>
      <c r="H2678" s="4">
        <v>0</v>
      </c>
      <c r="I2678" s="4">
        <v>0</v>
      </c>
      <c r="J2678" s="4"/>
      <c r="K2678" s="4"/>
      <c r="L2678" s="4"/>
      <c r="M2678" s="4"/>
      <c r="N2678" s="4"/>
      <c r="O2678" s="4"/>
    </row>
    <row r="2679" spans="1:15" x14ac:dyDescent="0.3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</row>
    <row r="2680" spans="1:15" x14ac:dyDescent="0.3">
      <c r="A2680" s="4" t="s">
        <v>1384</v>
      </c>
      <c r="B2680" s="4" t="s">
        <v>49</v>
      </c>
      <c r="C2680" s="4" t="s">
        <v>12</v>
      </c>
      <c r="D2680" s="14" t="s">
        <v>1442</v>
      </c>
      <c r="E2680" s="4">
        <v>1325</v>
      </c>
      <c r="F2680" s="4" t="s">
        <v>1433</v>
      </c>
      <c r="G2680" s="4">
        <v>1325</v>
      </c>
      <c r="H2680" s="4">
        <v>0</v>
      </c>
      <c r="I2680" s="4">
        <v>0</v>
      </c>
      <c r="J2680" s="4"/>
      <c r="K2680" s="4"/>
      <c r="L2680" s="4"/>
      <c r="M2680" s="4"/>
      <c r="N2680" s="4"/>
      <c r="O2680" s="4"/>
    </row>
    <row r="2681" spans="1:15" x14ac:dyDescent="0.3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</row>
    <row r="2682" spans="1:15" x14ac:dyDescent="0.3">
      <c r="A2682" s="4" t="s">
        <v>1385</v>
      </c>
      <c r="B2682" s="4" t="s">
        <v>49</v>
      </c>
      <c r="C2682" s="4" t="s">
        <v>12</v>
      </c>
      <c r="D2682" s="4" t="s">
        <v>1443</v>
      </c>
      <c r="E2682" s="4">
        <v>831</v>
      </c>
      <c r="F2682" s="4" t="s">
        <v>1433</v>
      </c>
      <c r="G2682" s="4">
        <v>831</v>
      </c>
      <c r="H2682" s="4">
        <v>0</v>
      </c>
      <c r="I2682" s="4">
        <v>0</v>
      </c>
      <c r="J2682" s="4"/>
      <c r="K2682" s="4"/>
      <c r="L2682" s="4"/>
      <c r="M2682" s="4"/>
      <c r="N2682" s="4"/>
      <c r="O2682" s="4"/>
    </row>
    <row r="2683" spans="1:15" x14ac:dyDescent="0.3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</row>
    <row r="2684" spans="1:15" x14ac:dyDescent="0.3">
      <c r="A2684" s="4" t="s">
        <v>1386</v>
      </c>
      <c r="B2684" s="4" t="s">
        <v>48</v>
      </c>
      <c r="C2684" s="4" t="s">
        <v>12</v>
      </c>
      <c r="D2684" s="14" t="s">
        <v>1444</v>
      </c>
      <c r="E2684" s="4">
        <v>1296</v>
      </c>
      <c r="F2684" s="4" t="s">
        <v>1433</v>
      </c>
      <c r="G2684" s="4">
        <v>1296</v>
      </c>
      <c r="H2684" s="4">
        <v>0</v>
      </c>
      <c r="I2684" s="4">
        <v>0</v>
      </c>
      <c r="J2684" s="4"/>
      <c r="K2684" s="4"/>
      <c r="L2684" s="4"/>
      <c r="M2684" s="4"/>
      <c r="N2684" s="4"/>
      <c r="O2684" s="4"/>
    </row>
    <row r="2685" spans="1:15" x14ac:dyDescent="0.3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</row>
    <row r="2686" spans="1:15" x14ac:dyDescent="0.3">
      <c r="A2686" s="4" t="s">
        <v>1387</v>
      </c>
      <c r="B2686" s="4" t="s">
        <v>46</v>
      </c>
      <c r="C2686" s="4" t="s">
        <v>12</v>
      </c>
      <c r="D2686" s="4" t="s">
        <v>1445</v>
      </c>
      <c r="E2686" s="4">
        <v>202</v>
      </c>
      <c r="F2686" s="4" t="s">
        <v>1433</v>
      </c>
      <c r="G2686" s="4">
        <v>202</v>
      </c>
      <c r="H2686" s="4">
        <v>0</v>
      </c>
      <c r="I2686" s="4">
        <v>0</v>
      </c>
      <c r="J2686" s="4"/>
      <c r="K2686" s="4"/>
      <c r="L2686" s="4"/>
      <c r="M2686" s="4"/>
      <c r="N2686" s="4"/>
      <c r="O2686" s="4"/>
    </row>
    <row r="2687" spans="1:15" x14ac:dyDescent="0.3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</row>
    <row r="2688" spans="1:15" x14ac:dyDescent="0.3">
      <c r="A2688" s="4" t="s">
        <v>1388</v>
      </c>
      <c r="B2688" s="4" t="s">
        <v>46</v>
      </c>
      <c r="C2688" s="4" t="s">
        <v>12</v>
      </c>
      <c r="D2688" s="14" t="s">
        <v>1446</v>
      </c>
      <c r="E2688" s="4">
        <v>24553</v>
      </c>
      <c r="F2688" s="4" t="s">
        <v>1433</v>
      </c>
      <c r="G2688" s="4">
        <v>24553</v>
      </c>
      <c r="H2688" s="4">
        <v>0</v>
      </c>
      <c r="I2688" s="4">
        <v>0</v>
      </c>
      <c r="J2688" s="4"/>
      <c r="K2688" s="4"/>
      <c r="L2688" s="4"/>
      <c r="M2688" s="4"/>
      <c r="N2688" s="4"/>
      <c r="O2688" s="4"/>
    </row>
    <row r="2689" spans="1:15" x14ac:dyDescent="0.3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</row>
    <row r="2690" spans="1:15" x14ac:dyDescent="0.3">
      <c r="A2690" s="4" t="s">
        <v>1389</v>
      </c>
      <c r="B2690" s="4" t="s">
        <v>46</v>
      </c>
      <c r="C2690" s="4" t="s">
        <v>12</v>
      </c>
      <c r="D2690" s="4" t="s">
        <v>1447</v>
      </c>
      <c r="E2690" s="4">
        <v>24874</v>
      </c>
      <c r="F2690" s="4" t="s">
        <v>1433</v>
      </c>
      <c r="G2690" s="4">
        <v>24874</v>
      </c>
      <c r="H2690" s="4">
        <v>0</v>
      </c>
      <c r="I2690" s="4">
        <v>0</v>
      </c>
      <c r="J2690" s="4"/>
      <c r="K2690" s="4"/>
      <c r="L2690" s="4"/>
      <c r="M2690" s="4"/>
      <c r="N2690" s="4"/>
      <c r="O2690" s="4"/>
    </row>
    <row r="2691" spans="1:15" x14ac:dyDescent="0.3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</row>
    <row r="2692" spans="1:15" x14ac:dyDescent="0.3">
      <c r="A2692" s="4" t="s">
        <v>1390</v>
      </c>
      <c r="B2692" s="4" t="s">
        <v>46</v>
      </c>
      <c r="C2692" s="4" t="s">
        <v>12</v>
      </c>
      <c r="D2692" s="14" t="s">
        <v>1448</v>
      </c>
      <c r="E2692" s="4">
        <v>7653</v>
      </c>
      <c r="F2692" s="4" t="s">
        <v>1433</v>
      </c>
      <c r="G2692" s="4">
        <v>7653</v>
      </c>
      <c r="H2692" s="4">
        <v>0</v>
      </c>
      <c r="I2692" s="4">
        <v>0</v>
      </c>
      <c r="J2692" s="4"/>
      <c r="K2692" s="4"/>
      <c r="L2692" s="4"/>
      <c r="M2692" s="4"/>
      <c r="N2692" s="4"/>
      <c r="O2692" s="4"/>
    </row>
    <row r="2693" spans="1:15" x14ac:dyDescent="0.3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</row>
    <row r="2694" spans="1:15" x14ac:dyDescent="0.3">
      <c r="A2694" s="4" t="s">
        <v>1391</v>
      </c>
      <c r="B2694" s="4" t="s">
        <v>46</v>
      </c>
      <c r="C2694" s="4" t="s">
        <v>12</v>
      </c>
      <c r="D2694" s="4" t="s">
        <v>1449</v>
      </c>
      <c r="E2694" s="4">
        <v>7546</v>
      </c>
      <c r="F2694" s="4" t="s">
        <v>1433</v>
      </c>
      <c r="G2694" s="4">
        <v>7546</v>
      </c>
      <c r="H2694" s="4">
        <v>0</v>
      </c>
      <c r="I2694" s="4">
        <v>0</v>
      </c>
      <c r="J2694" s="4"/>
      <c r="K2694" s="4"/>
      <c r="L2694" s="4"/>
      <c r="M2694" s="4"/>
      <c r="N2694" s="4"/>
      <c r="O2694" s="4"/>
    </row>
    <row r="2695" spans="1:15" x14ac:dyDescent="0.3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</row>
    <row r="2696" spans="1:15" x14ac:dyDescent="0.3">
      <c r="A2696" s="4" t="s">
        <v>1392</v>
      </c>
      <c r="B2696" s="4" t="s">
        <v>47</v>
      </c>
      <c r="C2696" s="4" t="s">
        <v>12</v>
      </c>
      <c r="D2696" s="14" t="s">
        <v>1450</v>
      </c>
      <c r="E2696" s="4">
        <v>8075</v>
      </c>
      <c r="F2696" s="4" t="s">
        <v>1433</v>
      </c>
      <c r="G2696" s="4">
        <v>8075</v>
      </c>
      <c r="H2696" s="4">
        <v>0</v>
      </c>
      <c r="I2696" s="4">
        <v>0</v>
      </c>
      <c r="J2696" s="4"/>
      <c r="K2696" s="4"/>
      <c r="L2696" s="4"/>
      <c r="M2696" s="4"/>
      <c r="N2696" s="4"/>
      <c r="O2696" s="4"/>
    </row>
    <row r="2697" spans="1:15" x14ac:dyDescent="0.3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</row>
    <row r="2698" spans="1:15" x14ac:dyDescent="0.3">
      <c r="A2698" s="4" t="s">
        <v>1393</v>
      </c>
      <c r="B2698" s="4" t="s">
        <v>46</v>
      </c>
      <c r="C2698" s="4" t="s">
        <v>12</v>
      </c>
      <c r="D2698" s="4" t="s">
        <v>1451</v>
      </c>
      <c r="E2698" s="4">
        <v>83017</v>
      </c>
      <c r="F2698" s="4" t="s">
        <v>1433</v>
      </c>
      <c r="G2698" s="4">
        <v>83017</v>
      </c>
      <c r="H2698" s="4">
        <v>0</v>
      </c>
      <c r="I2698" s="4">
        <v>0</v>
      </c>
      <c r="J2698" s="4"/>
      <c r="K2698" s="4"/>
      <c r="L2698" s="4"/>
      <c r="M2698" s="4"/>
      <c r="N2698" s="4"/>
      <c r="O2698" s="4"/>
    </row>
    <row r="2699" spans="1:15" x14ac:dyDescent="0.3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</row>
    <row r="2700" spans="1:15" x14ac:dyDescent="0.3">
      <c r="A2700" s="4" t="s">
        <v>1394</v>
      </c>
      <c r="B2700" s="4" t="s">
        <v>49</v>
      </c>
      <c r="C2700" s="4" t="s">
        <v>12</v>
      </c>
      <c r="D2700" s="14" t="s">
        <v>1452</v>
      </c>
      <c r="E2700" s="4">
        <v>595</v>
      </c>
      <c r="F2700" s="4" t="s">
        <v>1433</v>
      </c>
      <c r="G2700" s="4">
        <v>595</v>
      </c>
      <c r="H2700" s="4">
        <v>0</v>
      </c>
      <c r="I2700" s="4">
        <v>0</v>
      </c>
      <c r="J2700" s="4"/>
      <c r="K2700" s="4"/>
      <c r="L2700" s="4"/>
      <c r="M2700" s="4"/>
      <c r="N2700" s="4"/>
      <c r="O2700" s="4"/>
    </row>
    <row r="2701" spans="1:15" x14ac:dyDescent="0.3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</row>
    <row r="2702" spans="1:15" x14ac:dyDescent="0.3">
      <c r="A2702" s="4" t="s">
        <v>1395</v>
      </c>
      <c r="B2702" s="4" t="s">
        <v>47</v>
      </c>
      <c r="C2702" s="4" t="s">
        <v>12</v>
      </c>
      <c r="D2702" s="4" t="s">
        <v>1453</v>
      </c>
      <c r="E2702" s="4">
        <v>21563</v>
      </c>
      <c r="F2702" s="4" t="s">
        <v>1433</v>
      </c>
      <c r="G2702" s="4">
        <v>21563</v>
      </c>
      <c r="H2702" s="4">
        <v>0</v>
      </c>
      <c r="I2702" s="4">
        <v>0</v>
      </c>
      <c r="J2702" s="4"/>
      <c r="K2702" s="4"/>
      <c r="L2702" s="4"/>
      <c r="M2702" s="4"/>
      <c r="N2702" s="4"/>
      <c r="O2702" s="4"/>
    </row>
    <row r="2703" spans="1:15" x14ac:dyDescent="0.3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</row>
    <row r="2704" spans="1:15" x14ac:dyDescent="0.3">
      <c r="A2704" s="4" t="s">
        <v>1396</v>
      </c>
      <c r="B2704" s="4" t="s">
        <v>46</v>
      </c>
      <c r="C2704" s="4" t="s">
        <v>12</v>
      </c>
      <c r="D2704" s="14" t="s">
        <v>1454</v>
      </c>
      <c r="E2704" s="4">
        <v>1359</v>
      </c>
      <c r="F2704" s="4" t="s">
        <v>1433</v>
      </c>
      <c r="G2704" s="4">
        <v>1359</v>
      </c>
      <c r="H2704" s="4">
        <v>0</v>
      </c>
      <c r="I2704" s="4">
        <v>0</v>
      </c>
      <c r="J2704" s="4"/>
      <c r="K2704" s="4"/>
      <c r="L2704" s="4"/>
      <c r="M2704" s="4"/>
      <c r="N2704" s="4"/>
      <c r="O2704" s="4"/>
    </row>
    <row r="2705" spans="1:15" x14ac:dyDescent="0.3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</row>
    <row r="2706" spans="1:15" x14ac:dyDescent="0.3">
      <c r="A2706" s="4" t="s">
        <v>1397</v>
      </c>
      <c r="B2706" s="4" t="s">
        <v>49</v>
      </c>
      <c r="C2706" s="4" t="s">
        <v>12</v>
      </c>
      <c r="D2706" s="4" t="s">
        <v>1455</v>
      </c>
      <c r="E2706" s="4">
        <v>1242</v>
      </c>
      <c r="F2706" s="4" t="s">
        <v>1433</v>
      </c>
      <c r="G2706" s="4">
        <v>1242</v>
      </c>
      <c r="H2706" s="4">
        <v>0</v>
      </c>
      <c r="I2706" s="4">
        <v>0</v>
      </c>
      <c r="J2706" s="4"/>
      <c r="K2706" s="4"/>
      <c r="L2706" s="4"/>
      <c r="M2706" s="4"/>
      <c r="N2706" s="4"/>
      <c r="O2706" s="4"/>
    </row>
    <row r="2707" spans="1:15" x14ac:dyDescent="0.3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</row>
    <row r="2708" spans="1:15" x14ac:dyDescent="0.3">
      <c r="A2708" s="4" t="s">
        <v>1398</v>
      </c>
      <c r="B2708" s="4" t="s">
        <v>46</v>
      </c>
      <c r="C2708" s="4" t="s">
        <v>12</v>
      </c>
      <c r="D2708" s="14" t="s">
        <v>1456</v>
      </c>
      <c r="E2708" s="4">
        <v>60124</v>
      </c>
      <c r="F2708" s="4" t="s">
        <v>1433</v>
      </c>
      <c r="G2708" s="4">
        <v>60124</v>
      </c>
      <c r="H2708" s="4">
        <v>0</v>
      </c>
      <c r="I2708" s="4">
        <v>0</v>
      </c>
      <c r="J2708" s="4"/>
      <c r="K2708" s="4"/>
      <c r="L2708" s="4"/>
      <c r="M2708" s="4"/>
      <c r="N2708" s="4"/>
      <c r="O2708" s="4"/>
    </row>
    <row r="2709" spans="1:15" x14ac:dyDescent="0.3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</row>
    <row r="2710" spans="1:15" x14ac:dyDescent="0.3">
      <c r="A2710" s="4" t="s">
        <v>1399</v>
      </c>
      <c r="B2710" s="4" t="s">
        <v>46</v>
      </c>
      <c r="C2710" s="4" t="s">
        <v>12</v>
      </c>
      <c r="D2710" s="4" t="s">
        <v>1457</v>
      </c>
      <c r="E2710" s="4">
        <v>1830</v>
      </c>
      <c r="F2710" s="4" t="s">
        <v>1433</v>
      </c>
      <c r="G2710" s="4">
        <v>1830</v>
      </c>
      <c r="H2710" s="4">
        <v>0</v>
      </c>
      <c r="I2710" s="4">
        <v>0</v>
      </c>
      <c r="J2710" s="4"/>
      <c r="K2710" s="4"/>
      <c r="L2710" s="4"/>
      <c r="M2710" s="4"/>
      <c r="N2710" s="4"/>
      <c r="O2710" s="4"/>
    </row>
    <row r="2711" spans="1:15" x14ac:dyDescent="0.3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</row>
    <row r="2712" spans="1:15" x14ac:dyDescent="0.3">
      <c r="A2712" s="4" t="s">
        <v>1400</v>
      </c>
      <c r="B2712" s="4" t="s">
        <v>47</v>
      </c>
      <c r="C2712" s="4" t="s">
        <v>12</v>
      </c>
      <c r="D2712" s="14" t="s">
        <v>1458</v>
      </c>
      <c r="E2712" s="4">
        <v>11822</v>
      </c>
      <c r="F2712" s="4" t="s">
        <v>1433</v>
      </c>
      <c r="G2712" s="4">
        <v>11822</v>
      </c>
      <c r="H2712" s="4">
        <v>0</v>
      </c>
      <c r="I2712" s="4">
        <v>0</v>
      </c>
      <c r="J2712" s="4"/>
      <c r="K2712" s="4"/>
      <c r="L2712" s="4"/>
      <c r="M2712" s="4"/>
      <c r="N2712" s="4"/>
      <c r="O2712" s="4"/>
    </row>
    <row r="2713" spans="1:15" x14ac:dyDescent="0.3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</row>
    <row r="2714" spans="1:15" x14ac:dyDescent="0.3">
      <c r="A2714" s="4" t="s">
        <v>1401</v>
      </c>
      <c r="B2714" s="4" t="s">
        <v>47</v>
      </c>
      <c r="C2714" s="4" t="s">
        <v>12</v>
      </c>
      <c r="D2714" s="4" t="s">
        <v>1459</v>
      </c>
      <c r="E2714" s="4">
        <v>11131</v>
      </c>
      <c r="F2714" s="4" t="s">
        <v>1433</v>
      </c>
      <c r="G2714" s="4">
        <v>11131</v>
      </c>
      <c r="H2714" s="4">
        <v>0</v>
      </c>
      <c r="I2714" s="4">
        <v>0</v>
      </c>
      <c r="J2714" s="4"/>
      <c r="K2714" s="4"/>
      <c r="L2714" s="4"/>
      <c r="M2714" s="4"/>
      <c r="N2714" s="4"/>
      <c r="O2714" s="4"/>
    </row>
    <row r="2715" spans="1:15" x14ac:dyDescent="0.3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</row>
    <row r="2716" spans="1:15" x14ac:dyDescent="0.3">
      <c r="A2716" s="4" t="s">
        <v>1402</v>
      </c>
      <c r="B2716" s="4" t="s">
        <v>46</v>
      </c>
      <c r="C2716" s="4" t="s">
        <v>12</v>
      </c>
      <c r="D2716" s="14" t="s">
        <v>1460</v>
      </c>
      <c r="E2716" s="4">
        <v>2883</v>
      </c>
      <c r="F2716" s="4" t="s">
        <v>1433</v>
      </c>
      <c r="G2716" s="4">
        <v>2883</v>
      </c>
      <c r="H2716" s="4">
        <v>0</v>
      </c>
      <c r="I2716" s="4">
        <v>0</v>
      </c>
      <c r="J2716" s="4"/>
      <c r="K2716" s="4"/>
      <c r="L2716" s="4"/>
      <c r="M2716" s="4"/>
      <c r="N2716" s="4"/>
      <c r="O2716" s="4"/>
    </row>
    <row r="2717" spans="1:15" x14ac:dyDescent="0.3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</row>
    <row r="2718" spans="1:15" x14ac:dyDescent="0.3">
      <c r="A2718" s="4" t="s">
        <v>1403</v>
      </c>
      <c r="B2718" s="4" t="s">
        <v>47</v>
      </c>
      <c r="C2718" s="4" t="s">
        <v>12</v>
      </c>
      <c r="D2718" s="4" t="s">
        <v>1461</v>
      </c>
      <c r="E2718" s="4">
        <v>73769</v>
      </c>
      <c r="F2718" s="4" t="s">
        <v>1433</v>
      </c>
      <c r="G2718" s="4">
        <v>73769</v>
      </c>
      <c r="H2718" s="4">
        <v>0</v>
      </c>
      <c r="I2718" s="4">
        <v>0</v>
      </c>
      <c r="J2718" s="4"/>
      <c r="K2718" s="4"/>
      <c r="L2718" s="4"/>
      <c r="M2718" s="4"/>
      <c r="N2718" s="4"/>
      <c r="O2718" s="4"/>
    </row>
    <row r="2719" spans="1:15" x14ac:dyDescent="0.3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</row>
    <row r="2720" spans="1:15" x14ac:dyDescent="0.3">
      <c r="A2720" s="4" t="s">
        <v>1404</v>
      </c>
      <c r="B2720" s="4" t="s">
        <v>49</v>
      </c>
      <c r="C2720" s="4" t="s">
        <v>12</v>
      </c>
      <c r="D2720" s="14" t="s">
        <v>1462</v>
      </c>
      <c r="E2720" s="4">
        <v>4072</v>
      </c>
      <c r="F2720" s="4" t="s">
        <v>1433</v>
      </c>
      <c r="G2720" s="4">
        <v>4072</v>
      </c>
      <c r="H2720" s="4">
        <v>0</v>
      </c>
      <c r="I2720" s="4">
        <v>0</v>
      </c>
      <c r="J2720" s="4"/>
      <c r="K2720" s="4"/>
      <c r="L2720" s="4"/>
      <c r="M2720" s="4"/>
      <c r="N2720" s="4"/>
      <c r="O2720" s="4"/>
    </row>
    <row r="2721" spans="1:15" x14ac:dyDescent="0.3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</row>
    <row r="2722" spans="1:15" x14ac:dyDescent="0.3">
      <c r="A2722" s="4" t="s">
        <v>1405</v>
      </c>
      <c r="B2722" s="4" t="s">
        <v>49</v>
      </c>
      <c r="C2722" s="4" t="s">
        <v>44</v>
      </c>
      <c r="D2722" s="4">
        <v>1124565</v>
      </c>
      <c r="E2722" s="4">
        <v>32</v>
      </c>
      <c r="F2722" s="4" t="s">
        <v>1433</v>
      </c>
      <c r="G2722" s="4">
        <v>32</v>
      </c>
      <c r="H2722" s="4">
        <v>0</v>
      </c>
      <c r="I2722" s="4">
        <v>0</v>
      </c>
      <c r="J2722" s="4"/>
      <c r="K2722" s="4"/>
      <c r="L2722" s="4"/>
      <c r="M2722" s="4"/>
      <c r="N2722" s="4"/>
      <c r="O2722" s="4"/>
    </row>
    <row r="2723" spans="1:15" x14ac:dyDescent="0.3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</row>
    <row r="2724" spans="1:15" x14ac:dyDescent="0.3">
      <c r="A2724" s="4" t="s">
        <v>1406</v>
      </c>
      <c r="B2724" s="4" t="s">
        <v>46</v>
      </c>
      <c r="C2724" s="4" t="s">
        <v>44</v>
      </c>
      <c r="D2724" s="4">
        <v>5478514</v>
      </c>
      <c r="E2724" s="4">
        <v>1110</v>
      </c>
      <c r="F2724" s="4" t="s">
        <v>1433</v>
      </c>
      <c r="G2724" s="4">
        <v>1110</v>
      </c>
      <c r="H2724" s="4">
        <v>0</v>
      </c>
      <c r="I2724" s="4">
        <v>0</v>
      </c>
      <c r="J2724" s="4"/>
      <c r="K2724" s="4"/>
      <c r="L2724" s="4"/>
      <c r="M2724" s="4"/>
      <c r="N2724" s="4"/>
      <c r="O2724" s="4"/>
    </row>
    <row r="2725" spans="1:15" x14ac:dyDescent="0.3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</row>
    <row r="2726" spans="1:15" x14ac:dyDescent="0.3">
      <c r="A2726" s="4" t="s">
        <v>1407</v>
      </c>
      <c r="B2726" s="4" t="s">
        <v>48</v>
      </c>
      <c r="C2726" s="4" t="s">
        <v>44</v>
      </c>
      <c r="D2726" s="4">
        <v>4580928</v>
      </c>
      <c r="E2726" s="4">
        <v>4868</v>
      </c>
      <c r="F2726" s="4" t="s">
        <v>1433</v>
      </c>
      <c r="G2726" s="4">
        <v>4868</v>
      </c>
      <c r="H2726" s="4">
        <v>0</v>
      </c>
      <c r="I2726" s="4">
        <v>0</v>
      </c>
      <c r="J2726" s="4"/>
      <c r="K2726" s="4"/>
      <c r="L2726" s="4"/>
      <c r="M2726" s="4"/>
      <c r="N2726" s="4"/>
      <c r="O2726" s="4"/>
    </row>
    <row r="2727" spans="1:15" x14ac:dyDescent="0.3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</row>
    <row r="2728" spans="1:15" x14ac:dyDescent="0.3">
      <c r="A2728" s="4" t="s">
        <v>1408</v>
      </c>
      <c r="B2728" s="4" t="s">
        <v>46</v>
      </c>
      <c r="C2728" s="4" t="s">
        <v>44</v>
      </c>
      <c r="D2728" s="4">
        <v>9872464</v>
      </c>
      <c r="E2728" s="4">
        <v>299151</v>
      </c>
      <c r="F2728" s="4" t="s">
        <v>1433</v>
      </c>
      <c r="G2728" s="4">
        <v>299151</v>
      </c>
      <c r="H2728" s="4">
        <v>0</v>
      </c>
      <c r="I2728" s="4">
        <v>0</v>
      </c>
      <c r="J2728" s="4"/>
      <c r="K2728" s="4"/>
      <c r="L2728" s="4"/>
      <c r="M2728" s="4"/>
      <c r="N2728" s="4"/>
      <c r="O2728" s="4"/>
    </row>
    <row r="2729" spans="1:15" x14ac:dyDescent="0.3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</row>
    <row r="2730" spans="1:15" x14ac:dyDescent="0.3">
      <c r="A2730" s="4" t="s">
        <v>1409</v>
      </c>
      <c r="B2730" s="4" t="s">
        <v>46</v>
      </c>
      <c r="C2730" s="4" t="s">
        <v>44</v>
      </c>
      <c r="D2730" s="4">
        <v>2115416</v>
      </c>
      <c r="E2730" s="4">
        <v>10247</v>
      </c>
      <c r="F2730" s="4" t="s">
        <v>1433</v>
      </c>
      <c r="G2730" s="4">
        <v>10247</v>
      </c>
      <c r="H2730" s="4">
        <v>0</v>
      </c>
      <c r="I2730" s="4">
        <v>0</v>
      </c>
      <c r="J2730" s="4"/>
      <c r="K2730" s="4"/>
      <c r="L2730" s="4"/>
      <c r="M2730" s="4"/>
      <c r="N2730" s="4"/>
      <c r="O2730" s="4"/>
    </row>
    <row r="2731" spans="1:15" x14ac:dyDescent="0.3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</row>
    <row r="2732" spans="1:15" x14ac:dyDescent="0.3">
      <c r="A2732" s="4" t="s">
        <v>1410</v>
      </c>
      <c r="B2732" s="4" t="s">
        <v>47</v>
      </c>
      <c r="C2732" s="4" t="s">
        <v>44</v>
      </c>
      <c r="D2732" s="4">
        <v>1541515</v>
      </c>
      <c r="E2732" s="4">
        <v>200814</v>
      </c>
      <c r="F2732" s="4" t="s">
        <v>1433</v>
      </c>
      <c r="G2732" s="4">
        <v>200814</v>
      </c>
      <c r="H2732" s="4">
        <v>0</v>
      </c>
      <c r="I2732" s="4">
        <v>0</v>
      </c>
      <c r="J2732" s="4"/>
      <c r="K2732" s="4"/>
      <c r="L2732" s="4"/>
      <c r="M2732" s="4"/>
      <c r="N2732" s="4"/>
      <c r="O2732" s="4"/>
    </row>
    <row r="2733" spans="1:15" x14ac:dyDescent="0.3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</row>
    <row r="2734" spans="1:15" x14ac:dyDescent="0.3">
      <c r="A2734" s="4" t="s">
        <v>1411</v>
      </c>
      <c r="B2734" s="4" t="s">
        <v>49</v>
      </c>
      <c r="C2734" s="4" t="s">
        <v>44</v>
      </c>
      <c r="D2734" s="4">
        <v>9567614</v>
      </c>
      <c r="E2734" s="4">
        <v>4853</v>
      </c>
      <c r="F2734" s="4" t="s">
        <v>1433</v>
      </c>
      <c r="G2734" s="4">
        <v>4853</v>
      </c>
      <c r="H2734" s="4">
        <v>0</v>
      </c>
      <c r="I2734" s="4">
        <v>0</v>
      </c>
      <c r="J2734" s="4"/>
      <c r="K2734" s="4"/>
      <c r="L2734" s="4"/>
      <c r="M2734" s="4"/>
      <c r="N2734" s="4"/>
      <c r="O2734" s="4"/>
    </row>
    <row r="2735" spans="1:15" x14ac:dyDescent="0.3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</row>
    <row r="2736" spans="1:15" x14ac:dyDescent="0.3">
      <c r="A2736" s="4" t="s">
        <v>1412</v>
      </c>
      <c r="B2736" s="4" t="s">
        <v>47</v>
      </c>
      <c r="C2736" s="4" t="s">
        <v>44</v>
      </c>
      <c r="D2736" s="4">
        <v>3593713</v>
      </c>
      <c r="E2736" s="4">
        <v>66204</v>
      </c>
      <c r="F2736" s="4" t="s">
        <v>1433</v>
      </c>
      <c r="G2736" s="4">
        <v>66204</v>
      </c>
      <c r="H2736" s="4">
        <v>0</v>
      </c>
      <c r="I2736" s="4">
        <v>0</v>
      </c>
      <c r="J2736" s="4"/>
      <c r="K2736" s="4"/>
      <c r="L2736" s="4"/>
      <c r="M2736" s="4"/>
      <c r="N2736" s="4"/>
      <c r="O2736" s="4"/>
    </row>
    <row r="2737" spans="1:15" x14ac:dyDescent="0.3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</row>
    <row r="2738" spans="1:15" x14ac:dyDescent="0.3">
      <c r="A2738" s="4" t="s">
        <v>1413</v>
      </c>
      <c r="B2738" s="4" t="s">
        <v>47</v>
      </c>
      <c r="C2738" s="4" t="s">
        <v>44</v>
      </c>
      <c r="D2738" s="4">
        <v>11942704</v>
      </c>
      <c r="E2738" s="4">
        <v>13542</v>
      </c>
      <c r="F2738" s="4" t="s">
        <v>1433</v>
      </c>
      <c r="G2738" s="4">
        <v>13542</v>
      </c>
      <c r="H2738" s="4">
        <v>0</v>
      </c>
      <c r="I2738" s="4">
        <v>0</v>
      </c>
      <c r="J2738" s="4"/>
      <c r="K2738" s="4"/>
      <c r="L2738" s="4"/>
      <c r="M2738" s="4"/>
      <c r="N2738" s="4"/>
      <c r="O2738" s="4"/>
    </row>
    <row r="2739" spans="1:15" x14ac:dyDescent="0.3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</row>
    <row r="2740" spans="1:15" x14ac:dyDescent="0.3">
      <c r="A2740" s="4" t="s">
        <v>1414</v>
      </c>
      <c r="B2740" s="4" t="s">
        <v>47</v>
      </c>
      <c r="C2740" s="4" t="s">
        <v>44</v>
      </c>
      <c r="D2740" s="4">
        <v>19577553</v>
      </c>
      <c r="E2740" s="4">
        <v>32055</v>
      </c>
      <c r="F2740" s="4" t="s">
        <v>1433</v>
      </c>
      <c r="G2740" s="4">
        <v>32055</v>
      </c>
      <c r="H2740" s="4">
        <v>0</v>
      </c>
      <c r="I2740" s="4">
        <v>0</v>
      </c>
      <c r="J2740" s="4"/>
      <c r="K2740" s="4"/>
      <c r="L2740" s="4"/>
      <c r="M2740" s="4"/>
      <c r="N2740" s="4"/>
      <c r="O2740" s="4"/>
    </row>
    <row r="2741" spans="1:15" x14ac:dyDescent="0.3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</row>
    <row r="2742" spans="1:15" x14ac:dyDescent="0.3">
      <c r="A2742" s="4" t="s">
        <v>1415</v>
      </c>
      <c r="B2742" s="4" t="s">
        <v>47</v>
      </c>
      <c r="C2742" s="4" t="s">
        <v>44</v>
      </c>
      <c r="D2742" s="4">
        <v>27212402</v>
      </c>
      <c r="E2742" s="4">
        <v>11383</v>
      </c>
      <c r="F2742" s="4" t="s">
        <v>1433</v>
      </c>
      <c r="G2742" s="4">
        <v>11383</v>
      </c>
      <c r="H2742" s="4">
        <v>0</v>
      </c>
      <c r="I2742" s="4">
        <v>0</v>
      </c>
      <c r="J2742" s="4"/>
      <c r="K2742" s="4"/>
      <c r="L2742" s="4"/>
      <c r="M2742" s="4"/>
      <c r="N2742" s="4"/>
      <c r="O2742" s="4"/>
    </row>
    <row r="2743" spans="1:15" x14ac:dyDescent="0.3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</row>
    <row r="2744" spans="1:15" x14ac:dyDescent="0.3">
      <c r="A2744" s="4" t="s">
        <v>1416</v>
      </c>
      <c r="B2744" s="4" t="s">
        <v>47</v>
      </c>
      <c r="C2744" s="4" t="s">
        <v>44</v>
      </c>
      <c r="D2744" s="4">
        <v>31029826</v>
      </c>
      <c r="E2744" s="4">
        <v>9012</v>
      </c>
      <c r="F2744" s="4" t="s">
        <v>1433</v>
      </c>
      <c r="G2744" s="4">
        <v>9012</v>
      </c>
      <c r="H2744" s="4">
        <v>0</v>
      </c>
      <c r="I2744" s="4">
        <v>0</v>
      </c>
      <c r="J2744" s="4"/>
      <c r="K2744" s="4"/>
      <c r="L2744" s="4"/>
      <c r="M2744" s="4"/>
      <c r="N2744" s="4"/>
      <c r="O2744" s="4"/>
    </row>
    <row r="2745" spans="1:15" x14ac:dyDescent="0.3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</row>
    <row r="2746" spans="1:15" x14ac:dyDescent="0.3">
      <c r="A2746" s="4" t="s">
        <v>1417</v>
      </c>
      <c r="B2746" s="4" t="s">
        <v>46</v>
      </c>
      <c r="C2746" s="4" t="s">
        <v>44</v>
      </c>
      <c r="D2746" s="4">
        <v>38664675</v>
      </c>
      <c r="E2746" s="4">
        <v>951</v>
      </c>
      <c r="F2746" s="4" t="s">
        <v>1433</v>
      </c>
      <c r="G2746" s="4">
        <v>951</v>
      </c>
      <c r="H2746" s="4">
        <v>0</v>
      </c>
      <c r="I2746" s="4">
        <v>0</v>
      </c>
      <c r="J2746" s="4"/>
      <c r="K2746" s="4"/>
      <c r="L2746" s="4"/>
      <c r="M2746" s="4"/>
      <c r="N2746" s="4"/>
      <c r="O2746" s="4"/>
    </row>
    <row r="2747" spans="1:15" x14ac:dyDescent="0.3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</row>
    <row r="2748" spans="1:15" x14ac:dyDescent="0.3">
      <c r="A2748" s="4" t="s">
        <v>1418</v>
      </c>
      <c r="B2748" s="4" t="s">
        <v>46</v>
      </c>
      <c r="C2748" s="4" t="s">
        <v>44</v>
      </c>
      <c r="D2748" s="4">
        <v>46299524</v>
      </c>
      <c r="E2748" s="4">
        <v>1398</v>
      </c>
      <c r="F2748" s="4" t="s">
        <v>1433</v>
      </c>
      <c r="G2748" s="4">
        <v>1398</v>
      </c>
      <c r="H2748" s="4">
        <v>0</v>
      </c>
      <c r="I2748" s="4">
        <v>0</v>
      </c>
      <c r="J2748" s="4"/>
      <c r="K2748" s="4"/>
      <c r="L2748" s="4"/>
      <c r="M2748" s="4"/>
      <c r="N2748" s="4"/>
      <c r="O2748" s="4"/>
    </row>
    <row r="2749" spans="1:15" x14ac:dyDescent="0.3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</row>
    <row r="2750" spans="1:15" x14ac:dyDescent="0.3">
      <c r="A2750" s="4" t="s">
        <v>1419</v>
      </c>
      <c r="B2750" s="4" t="s">
        <v>47</v>
      </c>
      <c r="C2750" s="4" t="s">
        <v>44</v>
      </c>
      <c r="D2750" s="4">
        <v>47789508</v>
      </c>
      <c r="E2750" s="4">
        <v>2407</v>
      </c>
      <c r="F2750" s="4" t="s">
        <v>1433</v>
      </c>
      <c r="G2750" s="4">
        <v>2407</v>
      </c>
      <c r="H2750" s="4">
        <v>0</v>
      </c>
      <c r="I2750" s="4">
        <v>0</v>
      </c>
      <c r="J2750" s="4"/>
      <c r="K2750" s="4"/>
      <c r="L2750" s="4"/>
      <c r="M2750" s="4"/>
      <c r="N2750" s="4"/>
      <c r="O2750" s="4"/>
    </row>
    <row r="2751" spans="1:15" x14ac:dyDescent="0.3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</row>
    <row r="2752" spans="1:15" x14ac:dyDescent="0.3">
      <c r="A2752" s="4" t="s">
        <v>1420</v>
      </c>
      <c r="B2752" s="4" t="s">
        <v>49</v>
      </c>
      <c r="C2752" s="4" t="s">
        <v>44</v>
      </c>
      <c r="D2752" s="4">
        <v>62406680</v>
      </c>
      <c r="E2752" s="4">
        <v>2840</v>
      </c>
      <c r="F2752" s="4" t="s">
        <v>1433</v>
      </c>
      <c r="G2752" s="4">
        <v>2840</v>
      </c>
      <c r="H2752" s="4">
        <v>0</v>
      </c>
      <c r="I2752" s="4">
        <v>0</v>
      </c>
      <c r="J2752" s="4"/>
      <c r="K2752" s="4"/>
      <c r="L2752" s="4"/>
      <c r="M2752" s="4"/>
      <c r="N2752" s="4"/>
      <c r="O2752" s="4"/>
    </row>
    <row r="2753" spans="1:15" x14ac:dyDescent="0.3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</row>
    <row r="2754" spans="1:15" x14ac:dyDescent="0.3">
      <c r="A2754" s="4" t="s">
        <v>1421</v>
      </c>
      <c r="B2754" s="4" t="s">
        <v>49</v>
      </c>
      <c r="C2754" s="4" t="s">
        <v>44</v>
      </c>
      <c r="D2754" s="4">
        <v>63059206</v>
      </c>
      <c r="E2754" s="4">
        <v>1990</v>
      </c>
      <c r="F2754" s="4" t="s">
        <v>1433</v>
      </c>
      <c r="G2754" s="4">
        <v>1990</v>
      </c>
      <c r="H2754" s="4">
        <v>0</v>
      </c>
      <c r="I2754" s="4">
        <v>0</v>
      </c>
      <c r="J2754" s="4"/>
      <c r="K2754" s="4"/>
      <c r="L2754" s="4"/>
      <c r="M2754" s="4"/>
      <c r="N2754" s="4"/>
      <c r="O2754" s="4"/>
    </row>
    <row r="2755" spans="1:15" x14ac:dyDescent="0.3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</row>
    <row r="2756" spans="1:15" x14ac:dyDescent="0.3">
      <c r="A2756" s="4" t="s">
        <v>1422</v>
      </c>
      <c r="B2756" s="4" t="s">
        <v>49</v>
      </c>
      <c r="C2756" s="4" t="s">
        <v>44</v>
      </c>
      <c r="D2756" s="4">
        <v>63059220</v>
      </c>
      <c r="E2756" s="4">
        <v>1260</v>
      </c>
      <c r="F2756" s="4" t="s">
        <v>1433</v>
      </c>
      <c r="G2756" s="4">
        <v>1260</v>
      </c>
      <c r="H2756" s="4">
        <v>0</v>
      </c>
      <c r="I2756" s="4">
        <v>0</v>
      </c>
      <c r="J2756" s="4"/>
      <c r="K2756" s="4"/>
      <c r="L2756" s="4"/>
      <c r="M2756" s="4"/>
      <c r="N2756" s="4"/>
      <c r="O2756" s="4"/>
    </row>
    <row r="2757" spans="1:15" x14ac:dyDescent="0.3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</row>
    <row r="2758" spans="1:15" x14ac:dyDescent="0.3">
      <c r="A2758" s="4" t="s">
        <v>1423</v>
      </c>
      <c r="B2758" s="4" t="s">
        <v>49</v>
      </c>
      <c r="C2758" s="4" t="s">
        <v>44</v>
      </c>
      <c r="D2758" s="4">
        <v>63059622</v>
      </c>
      <c r="E2758" s="4">
        <v>31</v>
      </c>
      <c r="F2758" s="4" t="s">
        <v>1433</v>
      </c>
      <c r="G2758" s="4">
        <v>31</v>
      </c>
      <c r="H2758" s="4">
        <v>0</v>
      </c>
      <c r="I2758" s="4">
        <v>0</v>
      </c>
      <c r="J2758" s="4"/>
      <c r="K2758" s="4"/>
      <c r="L2758" s="4"/>
      <c r="M2758" s="4"/>
      <c r="N2758" s="4"/>
      <c r="O2758" s="4"/>
    </row>
    <row r="2759" spans="1:15" x14ac:dyDescent="0.3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</row>
    <row r="2760" spans="1:15" x14ac:dyDescent="0.3">
      <c r="A2760" s="4" t="s">
        <v>1424</v>
      </c>
      <c r="B2760" s="4" t="s">
        <v>49</v>
      </c>
      <c r="C2760" s="4" t="s">
        <v>44</v>
      </c>
      <c r="D2760" s="4">
        <v>63051628</v>
      </c>
      <c r="E2760" s="4">
        <v>133</v>
      </c>
      <c r="F2760" s="4" t="s">
        <v>1433</v>
      </c>
      <c r="G2760" s="4">
        <v>133</v>
      </c>
      <c r="H2760" s="4">
        <v>0</v>
      </c>
      <c r="I2760" s="4">
        <v>0</v>
      </c>
      <c r="J2760" s="4"/>
      <c r="K2760" s="4"/>
      <c r="L2760" s="4"/>
      <c r="M2760" s="4"/>
      <c r="N2760" s="4"/>
      <c r="O2760" s="4"/>
    </row>
    <row r="2761" spans="1:15" x14ac:dyDescent="0.3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</row>
    <row r="2762" spans="1:15" x14ac:dyDescent="0.3">
      <c r="A2762" s="4" t="s">
        <v>1425</v>
      </c>
      <c r="B2762" s="4" t="s">
        <v>49</v>
      </c>
      <c r="C2762" s="4" t="s">
        <v>44</v>
      </c>
      <c r="D2762" s="4">
        <v>63059650</v>
      </c>
      <c r="E2762" s="4">
        <v>10</v>
      </c>
      <c r="F2762" s="4" t="s">
        <v>1433</v>
      </c>
      <c r="G2762" s="4">
        <v>10</v>
      </c>
      <c r="H2762" s="4">
        <v>0</v>
      </c>
      <c r="I2762" s="4">
        <v>0</v>
      </c>
      <c r="J2762" s="4"/>
      <c r="K2762" s="4"/>
      <c r="L2762" s="4"/>
      <c r="M2762" s="4"/>
      <c r="N2762" s="4"/>
      <c r="O2762" s="4"/>
    </row>
    <row r="2763" spans="1:15" x14ac:dyDescent="0.3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</row>
    <row r="2764" spans="1:15" x14ac:dyDescent="0.3">
      <c r="A2764" s="4" t="s">
        <v>1426</v>
      </c>
      <c r="B2764" s="4" t="s">
        <v>49</v>
      </c>
      <c r="C2764" s="4" t="s">
        <v>44</v>
      </c>
      <c r="D2764" s="4">
        <v>63059558</v>
      </c>
      <c r="E2764" s="4">
        <v>881</v>
      </c>
      <c r="F2764" s="4" t="s">
        <v>1433</v>
      </c>
      <c r="G2764" s="4">
        <v>881</v>
      </c>
      <c r="H2764" s="4">
        <v>0</v>
      </c>
      <c r="I2764" s="4">
        <v>0</v>
      </c>
      <c r="J2764" s="4"/>
      <c r="K2764" s="4"/>
      <c r="L2764" s="4"/>
      <c r="M2764" s="4"/>
      <c r="N2764" s="4"/>
      <c r="O2764" s="4"/>
    </row>
    <row r="2765" spans="1:15" x14ac:dyDescent="0.3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</row>
    <row r="2766" spans="1:15" x14ac:dyDescent="0.3">
      <c r="A2766" s="4" t="s">
        <v>1427</v>
      </c>
      <c r="B2766" s="4" t="s">
        <v>49</v>
      </c>
      <c r="C2766" s="4" t="s">
        <v>44</v>
      </c>
      <c r="D2766" s="4">
        <v>63059686</v>
      </c>
      <c r="E2766" s="4">
        <v>31</v>
      </c>
      <c r="F2766" s="4" t="s">
        <v>1433</v>
      </c>
      <c r="G2766" s="4">
        <v>31</v>
      </c>
      <c r="H2766" s="4">
        <v>0</v>
      </c>
      <c r="I2766" s="4">
        <v>0</v>
      </c>
      <c r="J2766" s="4"/>
      <c r="K2766" s="4"/>
      <c r="L2766" s="4"/>
      <c r="M2766" s="4"/>
      <c r="N2766" s="4"/>
      <c r="O2766" s="4"/>
    </row>
    <row r="2767" spans="1:15" x14ac:dyDescent="0.3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</row>
    <row r="2768" spans="1:15" x14ac:dyDescent="0.3">
      <c r="A2768" s="4" t="s">
        <v>1428</v>
      </c>
      <c r="B2768" s="4" t="s">
        <v>47</v>
      </c>
      <c r="C2768" s="4" t="s">
        <v>44</v>
      </c>
      <c r="D2768" s="4">
        <v>14381148</v>
      </c>
      <c r="E2768" s="4">
        <v>499</v>
      </c>
      <c r="F2768" s="4" t="s">
        <v>1433</v>
      </c>
      <c r="G2768" s="4">
        <v>499</v>
      </c>
      <c r="H2768" s="4">
        <v>0</v>
      </c>
      <c r="I2768" s="4">
        <v>0</v>
      </c>
      <c r="J2768" s="4"/>
      <c r="K2768" s="4"/>
      <c r="L2768" s="4"/>
      <c r="M2768" s="4"/>
      <c r="N2768" s="4"/>
      <c r="O2768" s="4"/>
    </row>
    <row r="2769" spans="1:15" x14ac:dyDescent="0.3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</row>
    <row r="2770" spans="1:15" x14ac:dyDescent="0.3">
      <c r="A2770" s="4" t="s">
        <v>1429</v>
      </c>
      <c r="B2770" s="4" t="s">
        <v>49</v>
      </c>
      <c r="C2770" s="4" t="s">
        <v>44</v>
      </c>
      <c r="D2770" s="4">
        <v>15646612</v>
      </c>
      <c r="E2770" s="4">
        <v>218</v>
      </c>
      <c r="F2770" s="4" t="s">
        <v>1433</v>
      </c>
      <c r="G2770" s="4">
        <v>218</v>
      </c>
      <c r="H2770" s="4">
        <v>0</v>
      </c>
      <c r="I2770" s="4">
        <v>0</v>
      </c>
      <c r="J2770" s="4"/>
      <c r="K2770" s="4"/>
      <c r="L2770" s="4"/>
      <c r="M2770" s="4"/>
      <c r="N2770" s="4"/>
      <c r="O2770" s="4"/>
    </row>
    <row r="2771" spans="1:15" x14ac:dyDescent="0.3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</row>
    <row r="2772" spans="1:15" x14ac:dyDescent="0.3">
      <c r="A2772" s="4" t="s">
        <v>1430</v>
      </c>
      <c r="B2772" s="4" t="s">
        <v>47</v>
      </c>
      <c r="C2772" s="4" t="s">
        <v>44</v>
      </c>
      <c r="D2772" s="4">
        <v>54156166</v>
      </c>
      <c r="E2772" s="4">
        <v>3538</v>
      </c>
      <c r="F2772" s="4" t="s">
        <v>1433</v>
      </c>
      <c r="G2772" s="4">
        <v>3538</v>
      </c>
      <c r="H2772" s="4">
        <v>0</v>
      </c>
      <c r="I2772" s="4">
        <v>0</v>
      </c>
      <c r="J2772" s="4"/>
      <c r="K2772" s="4"/>
      <c r="L2772" s="4"/>
      <c r="M2772" s="4"/>
      <c r="N2772" s="4"/>
      <c r="O2772" s="4"/>
    </row>
    <row r="2773" spans="1:15" x14ac:dyDescent="0.3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</row>
  </sheetData>
  <mergeCells count="11">
    <mergeCell ref="A7:B7"/>
    <mergeCell ref="A8:B8"/>
    <mergeCell ref="A9:B9"/>
    <mergeCell ref="A10:B10"/>
    <mergeCell ref="A11:B11"/>
    <mergeCell ref="A6:B6"/>
    <mergeCell ref="A1:C1"/>
    <mergeCell ref="A2:B2"/>
    <mergeCell ref="A3:B3"/>
    <mergeCell ref="A4:B4"/>
    <mergeCell ref="A5:B5"/>
  </mergeCells>
  <conditionalFormatting sqref="I496:J496 A496:E496 A2110:D2110 F2110:J2110 A2111:J2667 A116:J495 A1991:J2109 A1990:E1990 G1990:J1990 K116:O2720 A497:J1989 E2721:O2721 E2668:J2720 A2668:D2721 A2722:O14934 A14:O115">
    <cfRule type="expression" dxfId="7" priority="6">
      <formula>$I14&gt;0</formula>
    </cfRule>
  </conditionalFormatting>
  <conditionalFormatting sqref="H497:H514934 H14:H495">
    <cfRule type="cellIs" dxfId="6" priority="5" operator="notEqual">
      <formula>0</formula>
    </cfRule>
  </conditionalFormatting>
  <conditionalFormatting sqref="F10">
    <cfRule type="cellIs" dxfId="5" priority="4" operator="greaterThan">
      <formula>0</formula>
    </cfRule>
  </conditionalFormatting>
  <conditionalFormatting sqref="G1:H8">
    <cfRule type="expression" dxfId="4" priority="3">
      <formula>$H1=0</formula>
    </cfRule>
  </conditionalFormatting>
  <conditionalFormatting sqref="G496">
    <cfRule type="expression" dxfId="3" priority="2">
      <formula>$I496&gt;0</formula>
    </cfRule>
  </conditionalFormatting>
  <conditionalFormatting sqref="F496">
    <cfRule type="expression" dxfId="2" priority="10">
      <formula>#REF!&gt;0</formula>
    </cfRule>
  </conditionalFormatting>
  <conditionalFormatting sqref="E2110">
    <cfRule type="expression" dxfId="1" priority="1">
      <formula>$I2110&gt;0</formula>
    </cfRule>
  </conditionalFormatting>
  <conditionalFormatting sqref="F1990">
    <cfRule type="expression" dxfId="0" priority="17">
      <formula>#REF!&gt;0</formula>
    </cfRule>
  </conditionalFormatting>
  <pageMargins left="0.70866141732283505" right="0.70866141732283505" top="0.74803149606299202" bottom="0.74803149606299202" header="0.31496062992126" footer="0.31496062992126"/>
  <pageSetup paperSize="9" scale="29" fitToHeight="25" orientation="landscape" cellComments="atEnd" r:id="rId1"/>
  <headerFooter>
    <oddFooter>&amp;LNTAC:3NS-20_x000D_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AGTI Instructions</vt:lpstr>
    </vt:vector>
  </TitlesOfParts>
  <Company>The Northern Trust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Searle</dc:creator>
  <cp:lastModifiedBy>Brooks Woolfolk</cp:lastModifiedBy>
  <dcterms:created xsi:type="dcterms:W3CDTF">2015-03-04T13:18:45Z</dcterms:created>
  <dcterms:modified xsi:type="dcterms:W3CDTF">2019-03-30T15:29:23Z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SensitivityLevel">
    <vt:lpwstr>3NS-20</vt:lpwstr>
  </property>
  <property fmtid="{D5CDD505-2E9C-101B-9397-08002B2CF9AE}" pid="3" name="xNTACLog">
    <vt:lpwstr>3NS-20201503041320Sms177</vt:lpwstr>
  </property>
  <property fmtid="{D5CDD505-2E9C-101B-9397-08002B2CF9AE}" pid="4" name="xNTACLog1">
    <vt:lpwstr>3NS-20201503041320Sms177</vt:lpwstr>
  </property>
</Properties>
</file>